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91770\OneDrive\Excel Dashboard file 4\"/>
    </mc:Choice>
  </mc:AlternateContent>
  <xr:revisionPtr revIDLastSave="0" documentId="13_ncr:1_{2EA5B580-3E64-4439-A836-5CB87F7D029E}" xr6:coauthVersionLast="47" xr6:coauthVersionMax="47" xr10:uidLastSave="{00000000-0000-0000-0000-000000000000}"/>
  <bookViews>
    <workbookView xWindow="-108" yWindow="-108" windowWidth="23256" windowHeight="12456" xr2:uid="{2D683AFC-7F52-41B6-9C91-BE920DE32644}"/>
  </bookViews>
  <sheets>
    <sheet name="Sheet1" sheetId="1" r:id="rId1"/>
    <sheet name="Sheet2" sheetId="6" r:id="rId2"/>
    <sheet name="Sheet3" sheetId="7" r:id="rId3"/>
  </sheets>
  <definedNames>
    <definedName name="_xlnm._FilterDatabase" localSheetId="0" hidden="1">Sheet1!$A$1:$T$123</definedName>
    <definedName name="_xlchart.v2.0" hidden="1">Sheet2!$D$3:$D$7</definedName>
    <definedName name="_xlchart.v2.1" hidden="1">Sheet2!$E$3:$E$7</definedName>
    <definedName name="Slicer_months">#N/A</definedName>
    <definedName name="Slicer_status">#N/A</definedName>
    <definedName name="Slicer_yea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20" i="1" l="1"/>
  <c r="S120" i="1"/>
  <c r="L120" i="1"/>
  <c r="J120" i="1"/>
  <c r="T110" i="1"/>
  <c r="S110" i="1"/>
  <c r="L110" i="1"/>
  <c r="J110" i="1"/>
  <c r="T109" i="1"/>
  <c r="S109" i="1"/>
  <c r="L109" i="1"/>
  <c r="J109" i="1"/>
  <c r="T108" i="1"/>
  <c r="S108" i="1"/>
  <c r="L108" i="1"/>
  <c r="J108" i="1"/>
  <c r="T107" i="1"/>
  <c r="S107" i="1"/>
  <c r="L107" i="1"/>
  <c r="J107" i="1"/>
  <c r="T106" i="1"/>
  <c r="S106" i="1"/>
  <c r="L106" i="1"/>
  <c r="J106" i="1"/>
  <c r="T105" i="1"/>
  <c r="S105" i="1"/>
  <c r="L105" i="1"/>
  <c r="J105" i="1"/>
  <c r="T104" i="1"/>
  <c r="S104" i="1"/>
  <c r="L104" i="1"/>
  <c r="J104" i="1"/>
  <c r="T103" i="1"/>
  <c r="S103" i="1"/>
  <c r="L103" i="1"/>
  <c r="J103" i="1"/>
  <c r="T102" i="1"/>
  <c r="S102" i="1"/>
  <c r="L102" i="1"/>
  <c r="J102" i="1"/>
  <c r="T101" i="1"/>
  <c r="S101" i="1"/>
  <c r="L101" i="1"/>
  <c r="J101" i="1"/>
  <c r="T100" i="1"/>
  <c r="S100" i="1"/>
  <c r="L100" i="1"/>
  <c r="J100" i="1"/>
  <c r="T90" i="1"/>
  <c r="S90" i="1"/>
  <c r="L90" i="1"/>
  <c r="J90" i="1"/>
  <c r="T80" i="1"/>
  <c r="S80" i="1"/>
  <c r="L80" i="1"/>
  <c r="J80" i="1"/>
  <c r="T70" i="1"/>
  <c r="S70" i="1"/>
  <c r="L70" i="1"/>
  <c r="J70" i="1"/>
  <c r="T60" i="1"/>
  <c r="S60" i="1"/>
  <c r="L60" i="1"/>
  <c r="J60" i="1"/>
  <c r="T50" i="1"/>
  <c r="S50" i="1"/>
  <c r="L50" i="1"/>
  <c r="J50" i="1"/>
  <c r="T40" i="1"/>
  <c r="S40" i="1"/>
  <c r="L40" i="1"/>
  <c r="J40" i="1"/>
  <c r="T30" i="1"/>
  <c r="S30" i="1"/>
  <c r="L30" i="1"/>
  <c r="J30" i="1"/>
  <c r="T20" i="1"/>
  <c r="S20" i="1"/>
  <c r="L20" i="1"/>
  <c r="J20" i="1"/>
  <c r="T10" i="1"/>
  <c r="S10" i="1"/>
  <c r="L10" i="1"/>
  <c r="J10" i="1"/>
  <c r="S2" i="1"/>
  <c r="S3" i="1"/>
  <c r="S4" i="1"/>
  <c r="S5" i="1"/>
  <c r="S6" i="1"/>
  <c r="S7" i="1"/>
  <c r="S8" i="1"/>
  <c r="S9" i="1"/>
  <c r="S11" i="1"/>
  <c r="S12" i="1"/>
  <c r="S13" i="1"/>
  <c r="S14" i="1"/>
  <c r="S15" i="1"/>
  <c r="S16" i="1"/>
  <c r="S17" i="1"/>
  <c r="S18" i="1"/>
  <c r="S19" i="1"/>
  <c r="S21" i="1"/>
  <c r="S22" i="1"/>
  <c r="S23" i="1"/>
  <c r="S24" i="1"/>
  <c r="S25" i="1"/>
  <c r="S26" i="1"/>
  <c r="S27" i="1"/>
  <c r="S28" i="1"/>
  <c r="S29" i="1"/>
  <c r="S31" i="1"/>
  <c r="S32" i="1"/>
  <c r="S33" i="1"/>
  <c r="S34" i="1"/>
  <c r="S35" i="1"/>
  <c r="S36" i="1"/>
  <c r="S37" i="1"/>
  <c r="S38" i="1"/>
  <c r="S39" i="1"/>
  <c r="S41" i="1"/>
  <c r="S42" i="1"/>
  <c r="S43" i="1"/>
  <c r="S44" i="1"/>
  <c r="S45" i="1"/>
  <c r="S46" i="1"/>
  <c r="S47" i="1"/>
  <c r="S48" i="1"/>
  <c r="S49" i="1"/>
  <c r="S51" i="1"/>
  <c r="S52" i="1"/>
  <c r="S53" i="1"/>
  <c r="S54" i="1"/>
  <c r="S55" i="1"/>
  <c r="S56" i="1"/>
  <c r="S57" i="1"/>
  <c r="S58" i="1"/>
  <c r="S59" i="1"/>
  <c r="S61" i="1"/>
  <c r="S62" i="1"/>
  <c r="S63" i="1"/>
  <c r="S64" i="1"/>
  <c r="S65" i="1"/>
  <c r="S66" i="1"/>
  <c r="S67" i="1"/>
  <c r="S68" i="1"/>
  <c r="S69" i="1"/>
  <c r="S71" i="1"/>
  <c r="S72" i="1"/>
  <c r="S73" i="1"/>
  <c r="S74" i="1"/>
  <c r="S75" i="1"/>
  <c r="S76" i="1"/>
  <c r="S77" i="1"/>
  <c r="S78" i="1"/>
  <c r="S79" i="1"/>
  <c r="S81" i="1"/>
  <c r="S82" i="1"/>
  <c r="S83" i="1"/>
  <c r="S84" i="1"/>
  <c r="S85" i="1"/>
  <c r="S86" i="1"/>
  <c r="S87" i="1"/>
  <c r="S88" i="1"/>
  <c r="S89" i="1"/>
  <c r="S91" i="1"/>
  <c r="S92" i="1"/>
  <c r="S93" i="1"/>
  <c r="S94" i="1"/>
  <c r="S95" i="1"/>
  <c r="S96" i="1"/>
  <c r="S97" i="1"/>
  <c r="S98" i="1"/>
  <c r="S99" i="1"/>
  <c r="S111" i="1"/>
  <c r="S112" i="1"/>
  <c r="S113" i="1"/>
  <c r="S114" i="1"/>
  <c r="S115" i="1"/>
  <c r="S116" i="1"/>
  <c r="S117" i="1"/>
  <c r="S118" i="1"/>
  <c r="S119" i="1"/>
  <c r="S121" i="1"/>
  <c r="S122" i="1"/>
  <c r="S123" i="1"/>
  <c r="D4" i="6"/>
  <c r="E4" i="6"/>
  <c r="D5" i="6"/>
  <c r="E5" i="6"/>
  <c r="D6" i="6"/>
  <c r="E6" i="6"/>
  <c r="D7" i="6"/>
  <c r="E7" i="6"/>
  <c r="E3" i="6"/>
  <c r="D3" i="6"/>
  <c r="T3" i="1"/>
  <c r="T4" i="1"/>
  <c r="T5" i="1"/>
  <c r="T6" i="1"/>
  <c r="T7" i="1"/>
  <c r="T8" i="1"/>
  <c r="T9" i="1"/>
  <c r="T11" i="1"/>
  <c r="T12" i="1"/>
  <c r="T13" i="1"/>
  <c r="T14" i="1"/>
  <c r="T15" i="1"/>
  <c r="T16" i="1"/>
  <c r="T17" i="1"/>
  <c r="T18" i="1"/>
  <c r="T19" i="1"/>
  <c r="T21" i="1"/>
  <c r="T22" i="1"/>
  <c r="T23" i="1"/>
  <c r="T24" i="1"/>
  <c r="T25" i="1"/>
  <c r="T26" i="1"/>
  <c r="T27" i="1"/>
  <c r="T28" i="1"/>
  <c r="T29" i="1"/>
  <c r="T31" i="1"/>
  <c r="T32" i="1"/>
  <c r="T33" i="1"/>
  <c r="T34" i="1"/>
  <c r="T35" i="1"/>
  <c r="T36" i="1"/>
  <c r="T37" i="1"/>
  <c r="T38" i="1"/>
  <c r="T39" i="1"/>
  <c r="T41" i="1"/>
  <c r="T42" i="1"/>
  <c r="T43" i="1"/>
  <c r="T44" i="1"/>
  <c r="T45" i="1"/>
  <c r="T46" i="1"/>
  <c r="T47" i="1"/>
  <c r="T48" i="1"/>
  <c r="T49" i="1"/>
  <c r="T51" i="1"/>
  <c r="T52" i="1"/>
  <c r="T53" i="1"/>
  <c r="T54" i="1"/>
  <c r="T55" i="1"/>
  <c r="T56" i="1"/>
  <c r="T57" i="1"/>
  <c r="T58" i="1"/>
  <c r="T59" i="1"/>
  <c r="T61" i="1"/>
  <c r="T62" i="1"/>
  <c r="T63" i="1"/>
  <c r="T64" i="1"/>
  <c r="T65" i="1"/>
  <c r="T66" i="1"/>
  <c r="T67" i="1"/>
  <c r="T68" i="1"/>
  <c r="T69" i="1"/>
  <c r="T71" i="1"/>
  <c r="T72" i="1"/>
  <c r="T73" i="1"/>
  <c r="T74" i="1"/>
  <c r="T75" i="1"/>
  <c r="T76" i="1"/>
  <c r="T77" i="1"/>
  <c r="T78" i="1"/>
  <c r="T79" i="1"/>
  <c r="T81" i="1"/>
  <c r="T82" i="1"/>
  <c r="T83" i="1"/>
  <c r="T84" i="1"/>
  <c r="T85" i="1"/>
  <c r="T86" i="1"/>
  <c r="T87" i="1"/>
  <c r="T88" i="1"/>
  <c r="T89" i="1"/>
  <c r="T91" i="1"/>
  <c r="T92" i="1"/>
  <c r="T93" i="1"/>
  <c r="T94" i="1"/>
  <c r="T95" i="1"/>
  <c r="T96" i="1"/>
  <c r="T97" i="1"/>
  <c r="T98" i="1"/>
  <c r="T99" i="1"/>
  <c r="T111" i="1"/>
  <c r="T112" i="1"/>
  <c r="T113" i="1"/>
  <c r="T114" i="1"/>
  <c r="T115" i="1"/>
  <c r="T116" i="1"/>
  <c r="T117" i="1"/>
  <c r="T118" i="1"/>
  <c r="T119" i="1"/>
  <c r="T121" i="1"/>
  <c r="T122" i="1"/>
  <c r="T123" i="1"/>
  <c r="T2" i="1"/>
  <c r="L3" i="1"/>
  <c r="L4" i="1"/>
  <c r="L5" i="1"/>
  <c r="L6" i="1"/>
  <c r="L7" i="1"/>
  <c r="L8" i="1"/>
  <c r="L9" i="1"/>
  <c r="L11" i="1"/>
  <c r="L12" i="1"/>
  <c r="L13" i="1"/>
  <c r="L14" i="1"/>
  <c r="L15" i="1"/>
  <c r="L16" i="1"/>
  <c r="L17" i="1"/>
  <c r="L18" i="1"/>
  <c r="L19" i="1"/>
  <c r="L21" i="1"/>
  <c r="L22" i="1"/>
  <c r="L23" i="1"/>
  <c r="L24" i="1"/>
  <c r="L25" i="1"/>
  <c r="L26" i="1"/>
  <c r="L27" i="1"/>
  <c r="L28" i="1"/>
  <c r="L29" i="1"/>
  <c r="L31" i="1"/>
  <c r="L32" i="1"/>
  <c r="L33" i="1"/>
  <c r="L34" i="1"/>
  <c r="L35" i="1"/>
  <c r="L36" i="1"/>
  <c r="L37" i="1"/>
  <c r="L38" i="1"/>
  <c r="L39" i="1"/>
  <c r="L41" i="1"/>
  <c r="L42" i="1"/>
  <c r="L43" i="1"/>
  <c r="L44" i="1"/>
  <c r="L45" i="1"/>
  <c r="L46" i="1"/>
  <c r="L47" i="1"/>
  <c r="L48" i="1"/>
  <c r="L49" i="1"/>
  <c r="L51" i="1"/>
  <c r="L52" i="1"/>
  <c r="L53" i="1"/>
  <c r="L54" i="1"/>
  <c r="L55" i="1"/>
  <c r="L56" i="1"/>
  <c r="L57" i="1"/>
  <c r="L58" i="1"/>
  <c r="L59" i="1"/>
  <c r="L61" i="1"/>
  <c r="L62" i="1"/>
  <c r="L63" i="1"/>
  <c r="L64" i="1"/>
  <c r="L65" i="1"/>
  <c r="L66" i="1"/>
  <c r="L67" i="1"/>
  <c r="L68" i="1"/>
  <c r="L69" i="1"/>
  <c r="L71" i="1"/>
  <c r="L72" i="1"/>
  <c r="L73" i="1"/>
  <c r="L74" i="1"/>
  <c r="L75" i="1"/>
  <c r="L76" i="1"/>
  <c r="L77" i="1"/>
  <c r="L78" i="1"/>
  <c r="L79" i="1"/>
  <c r="L81" i="1"/>
  <c r="L82" i="1"/>
  <c r="L83" i="1"/>
  <c r="L84" i="1"/>
  <c r="L85" i="1"/>
  <c r="L86" i="1"/>
  <c r="L87" i="1"/>
  <c r="L88" i="1"/>
  <c r="L89" i="1"/>
  <c r="L91" i="1"/>
  <c r="L92" i="1"/>
  <c r="L93" i="1"/>
  <c r="L94" i="1"/>
  <c r="L95" i="1"/>
  <c r="L96" i="1"/>
  <c r="L97" i="1"/>
  <c r="L98" i="1"/>
  <c r="L99" i="1"/>
  <c r="L111" i="1"/>
  <c r="L112" i="1"/>
  <c r="L113" i="1"/>
  <c r="L114" i="1"/>
  <c r="L115" i="1"/>
  <c r="L116" i="1"/>
  <c r="L117" i="1"/>
  <c r="L118" i="1"/>
  <c r="L119" i="1"/>
  <c r="L121" i="1"/>
  <c r="L122" i="1"/>
  <c r="L123" i="1"/>
  <c r="L2" i="1"/>
  <c r="J3" i="1"/>
  <c r="J4" i="1"/>
  <c r="J5" i="1"/>
  <c r="J6" i="1"/>
  <c r="J7" i="1"/>
  <c r="J8" i="1"/>
  <c r="J9" i="1"/>
  <c r="J11" i="1"/>
  <c r="J12" i="1"/>
  <c r="J13" i="1"/>
  <c r="J14" i="1"/>
  <c r="J15" i="1"/>
  <c r="J16" i="1"/>
  <c r="J17" i="1"/>
  <c r="J18" i="1"/>
  <c r="J19" i="1"/>
  <c r="J21" i="1"/>
  <c r="J22" i="1"/>
  <c r="J23" i="1"/>
  <c r="J24" i="1"/>
  <c r="J25" i="1"/>
  <c r="J26" i="1"/>
  <c r="J27" i="1"/>
  <c r="J28" i="1"/>
  <c r="J29" i="1"/>
  <c r="J31" i="1"/>
  <c r="J32" i="1"/>
  <c r="J33" i="1"/>
  <c r="J34" i="1"/>
  <c r="J35" i="1"/>
  <c r="J36" i="1"/>
  <c r="J37" i="1"/>
  <c r="J38" i="1"/>
  <c r="J39" i="1"/>
  <c r="J41" i="1"/>
  <c r="J42" i="1"/>
  <c r="J43" i="1"/>
  <c r="J44" i="1"/>
  <c r="J45" i="1"/>
  <c r="J46" i="1"/>
  <c r="J47" i="1"/>
  <c r="J48" i="1"/>
  <c r="J49" i="1"/>
  <c r="J51" i="1"/>
  <c r="J52" i="1"/>
  <c r="J53" i="1"/>
  <c r="J54" i="1"/>
  <c r="J55" i="1"/>
  <c r="J56" i="1"/>
  <c r="J57" i="1"/>
  <c r="J58" i="1"/>
  <c r="J59" i="1"/>
  <c r="J61" i="1"/>
  <c r="J62" i="1"/>
  <c r="J63" i="1"/>
  <c r="J64" i="1"/>
  <c r="J65" i="1"/>
  <c r="J66" i="1"/>
  <c r="J67" i="1"/>
  <c r="J68" i="1"/>
  <c r="J69" i="1"/>
  <c r="J71" i="1"/>
  <c r="J72" i="1"/>
  <c r="J73" i="1"/>
  <c r="J74" i="1"/>
  <c r="J75" i="1"/>
  <c r="J76" i="1"/>
  <c r="J77" i="1"/>
  <c r="J78" i="1"/>
  <c r="J79" i="1"/>
  <c r="J81" i="1"/>
  <c r="J82" i="1"/>
  <c r="J83" i="1"/>
  <c r="J84" i="1"/>
  <c r="J85" i="1"/>
  <c r="J86" i="1"/>
  <c r="J87" i="1"/>
  <c r="J88" i="1"/>
  <c r="J89" i="1"/>
  <c r="J91" i="1"/>
  <c r="J92" i="1"/>
  <c r="J93" i="1"/>
  <c r="J94" i="1"/>
  <c r="J95" i="1"/>
  <c r="J96" i="1"/>
  <c r="J97" i="1"/>
  <c r="J98" i="1"/>
  <c r="J99" i="1"/>
  <c r="J111" i="1"/>
  <c r="J112" i="1"/>
  <c r="J113" i="1"/>
  <c r="J114" i="1"/>
  <c r="J115" i="1"/>
  <c r="J116" i="1"/>
  <c r="J117" i="1"/>
  <c r="J118" i="1"/>
  <c r="J119" i="1"/>
  <c r="J121" i="1"/>
  <c r="J122" i="1"/>
  <c r="J123" i="1"/>
  <c r="J2" i="1"/>
</calcChain>
</file>

<file path=xl/sharedStrings.xml><?xml version="1.0" encoding="utf-8"?>
<sst xmlns="http://schemas.openxmlformats.org/spreadsheetml/2006/main" count="927" uniqueCount="414">
  <si>
    <t>customerNumber</t>
  </si>
  <si>
    <t>customerName</t>
  </si>
  <si>
    <t>Atelier graphique</t>
  </si>
  <si>
    <t>Signal Gift Stores</t>
  </si>
  <si>
    <t>Australian Collectors, Co.</t>
  </si>
  <si>
    <t>La Rochelle Gifts</t>
  </si>
  <si>
    <t>Baane Mini Imports</t>
  </si>
  <si>
    <t>Mini Gifts Distributors Ltd.</t>
  </si>
  <si>
    <t>Havel &amp; Zbyszek Co</t>
  </si>
  <si>
    <t>Blauer See Auto, Co.</t>
  </si>
  <si>
    <t>Mini Wheels Co.</t>
  </si>
  <si>
    <t>Land of Toys Inc.</t>
  </si>
  <si>
    <t>Euro+ Shopping Channel</t>
  </si>
  <si>
    <t>Volvo Model Replicas, Co</t>
  </si>
  <si>
    <t>Danish Wholesale Imports</t>
  </si>
  <si>
    <t>Saveley &amp; Henriot, Co.</t>
  </si>
  <si>
    <t>Dragon Souveniers, Ltd.</t>
  </si>
  <si>
    <t>Muscle Machine Inc</t>
  </si>
  <si>
    <t>Technics Stores Inc.</t>
  </si>
  <si>
    <t>Handji Gifts&amp; Co</t>
  </si>
  <si>
    <t>Herkku Gifts</t>
  </si>
  <si>
    <t>American Souvenirs Inc</t>
  </si>
  <si>
    <t>Porto Imports Co.</t>
  </si>
  <si>
    <t>Daedalus Designs Imports</t>
  </si>
  <si>
    <t>La Corne D'abondance, Co.</t>
  </si>
  <si>
    <t>Cambridge Collectables Co.</t>
  </si>
  <si>
    <t>Gift Depot Inc.</t>
  </si>
  <si>
    <t>Osaka Souveniers Co.</t>
  </si>
  <si>
    <t>Vitachrome Inc.</t>
  </si>
  <si>
    <t>Toys of Finland, Co.</t>
  </si>
  <si>
    <t>AV Stores, Co.</t>
  </si>
  <si>
    <t>Clover Collections, Co.</t>
  </si>
  <si>
    <t>Auto-Moto Classics Inc.</t>
  </si>
  <si>
    <t>UK Collectables, Ltd.</t>
  </si>
  <si>
    <t>Canadian Gift Exchange Network</t>
  </si>
  <si>
    <t>Online Mini Collectables</t>
  </si>
  <si>
    <t>Toys4GrownUps.com</t>
  </si>
  <si>
    <t>Asian Shopping Network, Co</t>
  </si>
  <si>
    <t>Mini Caravy</t>
  </si>
  <si>
    <t>King Kong Collectables, Co.</t>
  </si>
  <si>
    <t>Enaco Distributors</t>
  </si>
  <si>
    <t>Boards &amp; Toys Co.</t>
  </si>
  <si>
    <t>NatÃ¼rlich Autos</t>
  </si>
  <si>
    <t>Heintze Collectables</t>
  </si>
  <si>
    <t>QuÃ©bec Home Shopping Network</t>
  </si>
  <si>
    <t>ANG Resellers</t>
  </si>
  <si>
    <t>Collectable Mini Designs Co.</t>
  </si>
  <si>
    <t>giftsbymail.co.uk</t>
  </si>
  <si>
    <t>Alpha Cognac</t>
  </si>
  <si>
    <t>Messner Shopping Network</t>
  </si>
  <si>
    <t>Amica Models &amp; Co.</t>
  </si>
  <si>
    <t>Lyon Souveniers</t>
  </si>
  <si>
    <t>Auto AssociÃ©s &amp; Cie.</t>
  </si>
  <si>
    <t>Toms SpezialitÃ¤ten, Ltd</t>
  </si>
  <si>
    <t>Royal Canadian Collectables, Ltd.</t>
  </si>
  <si>
    <t>Franken Gifts, Co</t>
  </si>
  <si>
    <t>Anna's Decorations, Ltd</t>
  </si>
  <si>
    <t>Rovelli Gifts</t>
  </si>
  <si>
    <t>Souveniers And Things Co.</t>
  </si>
  <si>
    <t>Marta's Replicas Co.</t>
  </si>
  <si>
    <t>BG&amp;E Collectables</t>
  </si>
  <si>
    <t>Vida Sport, Ltd</t>
  </si>
  <si>
    <t>Norway Gifts By Mail, Co.</t>
  </si>
  <si>
    <t>Schuyler Imports</t>
  </si>
  <si>
    <t>Der Hund Imports</t>
  </si>
  <si>
    <t>Oulu Toy Supplies, Inc.</t>
  </si>
  <si>
    <t>Petit Auto</t>
  </si>
  <si>
    <t>Mini Classics</t>
  </si>
  <si>
    <t>Mini Creations Ltd.</t>
  </si>
  <si>
    <t>Corporate Gift Ideas Co.</t>
  </si>
  <si>
    <t>Down Under Souveniers, Inc</t>
  </si>
  <si>
    <t>Stylish Desk Decors, Co.</t>
  </si>
  <si>
    <t>Tekni Collectables Inc.</t>
  </si>
  <si>
    <t>Australian Gift Network, Co</t>
  </si>
  <si>
    <t>Suominen Souveniers</t>
  </si>
  <si>
    <t>Cramer SpezialitÃ¤ten, Ltd</t>
  </si>
  <si>
    <t>Classic Gift Ideas, Inc</t>
  </si>
  <si>
    <t>CAF Imports</t>
  </si>
  <si>
    <t>Men 'R' US Retailers, Ltd.</t>
  </si>
  <si>
    <t>Asian Treasures, Inc.</t>
  </si>
  <si>
    <t>Marseille Mini Autos</t>
  </si>
  <si>
    <t>Reims Collectables</t>
  </si>
  <si>
    <t>SAR Distributors, Co</t>
  </si>
  <si>
    <t>GiftsForHim.com</t>
  </si>
  <si>
    <t>Kommission Auto</t>
  </si>
  <si>
    <t>Gifts4AllAges.com</t>
  </si>
  <si>
    <t>Online Diecast Creations Co.</t>
  </si>
  <si>
    <t>Lisboa Souveniers, Inc</t>
  </si>
  <si>
    <t>Precious Collectables</t>
  </si>
  <si>
    <t>Collectables For Less Inc.</t>
  </si>
  <si>
    <t>Royale Belge</t>
  </si>
  <si>
    <t>Salzburg Collectables</t>
  </si>
  <si>
    <t>Cruz &amp; Sons Co.</t>
  </si>
  <si>
    <t>L'ordine Souveniers</t>
  </si>
  <si>
    <t>Tokyo Collectables, Ltd</t>
  </si>
  <si>
    <t>Auto Canal+ Petit</t>
  </si>
  <si>
    <t>Stuttgart Collectable Exchange</t>
  </si>
  <si>
    <t>Extreme Desk Decorations, Ltd</t>
  </si>
  <si>
    <t>Bavarian Collectables Imports, Co.</t>
  </si>
  <si>
    <t>Classic Legends Inc.</t>
  </si>
  <si>
    <t>Feuer Online Stores, Inc</t>
  </si>
  <si>
    <t>Gift Ideas Corp.</t>
  </si>
  <si>
    <t>Scandinavian Gift Ideas</t>
  </si>
  <si>
    <t>The Sharp Gifts Warehouse</t>
  </si>
  <si>
    <t>Mini Auto Werke</t>
  </si>
  <si>
    <t>Super Scale Inc.</t>
  </si>
  <si>
    <t>Microscale Inc.</t>
  </si>
  <si>
    <t>Corrida Auto Replicas, Ltd</t>
  </si>
  <si>
    <t>Warburg Exchange</t>
  </si>
  <si>
    <t>FunGiftIdeas.com</t>
  </si>
  <si>
    <t>Anton Designs, Ltd.</t>
  </si>
  <si>
    <t>Australian Collectables, Ltd</t>
  </si>
  <si>
    <t>Frau da Collezione</t>
  </si>
  <si>
    <t>West Coast Collectables Co.</t>
  </si>
  <si>
    <t>Mit VergnÃ¼gen &amp; Co.</t>
  </si>
  <si>
    <t>Kremlin Collectables, Co.</t>
  </si>
  <si>
    <t>Raanan Stores, Inc</t>
  </si>
  <si>
    <t>Iberia Gift Imports, Corp.</t>
  </si>
  <si>
    <t>Motor Mint Distributors Inc.</t>
  </si>
  <si>
    <t>Signal Collectibles Ltd.</t>
  </si>
  <si>
    <t>Double Decker Gift Stores, Ltd</t>
  </si>
  <si>
    <t>Diecast Collectables</t>
  </si>
  <si>
    <t>Kelly's Gift Shop</t>
  </si>
  <si>
    <t>country</t>
  </si>
  <si>
    <t>France</t>
  </si>
  <si>
    <t>USA</t>
  </si>
  <si>
    <t>Australia</t>
  </si>
  <si>
    <t>Norway</t>
  </si>
  <si>
    <t>Poland</t>
  </si>
  <si>
    <t>Germany</t>
  </si>
  <si>
    <t>Spain</t>
  </si>
  <si>
    <t>Sweden</t>
  </si>
  <si>
    <t>Denmark</t>
  </si>
  <si>
    <t>Singapore</t>
  </si>
  <si>
    <t xml:space="preserve">Norway  </t>
  </si>
  <si>
    <t>Portugal</t>
  </si>
  <si>
    <t>Japan</t>
  </si>
  <si>
    <t>Finland</t>
  </si>
  <si>
    <t>UK</t>
  </si>
  <si>
    <t>Ireland</t>
  </si>
  <si>
    <t>Canada</t>
  </si>
  <si>
    <t>Hong Kong</t>
  </si>
  <si>
    <t>Italy</t>
  </si>
  <si>
    <t>Switzerland</t>
  </si>
  <si>
    <t>Netherlands</t>
  </si>
  <si>
    <t>Belgium</t>
  </si>
  <si>
    <t>New Zealand</t>
  </si>
  <si>
    <t>South Africa</t>
  </si>
  <si>
    <t>Austria</t>
  </si>
  <si>
    <t>Philippines</t>
  </si>
  <si>
    <t>Russia</t>
  </si>
  <si>
    <t>Israel</t>
  </si>
  <si>
    <t>salesRepEmployeeNumber</t>
  </si>
  <si>
    <t>employeeNumber</t>
  </si>
  <si>
    <t>orderNumber</t>
  </si>
  <si>
    <t>productCode</t>
  </si>
  <si>
    <t>quantityOrdered</t>
  </si>
  <si>
    <t>priceEach</t>
  </si>
  <si>
    <t>S18_1749</t>
  </si>
  <si>
    <t>S18_2248</t>
  </si>
  <si>
    <t>S18_4409</t>
  </si>
  <si>
    <t>S24_3969</t>
  </si>
  <si>
    <t>S18_2325</t>
  </si>
  <si>
    <t>S18_2795</t>
  </si>
  <si>
    <t>S24_1937</t>
  </si>
  <si>
    <t>S24_2022</t>
  </si>
  <si>
    <t>S18_1342</t>
  </si>
  <si>
    <t>S18_1367</t>
  </si>
  <si>
    <t>S10_1949</t>
  </si>
  <si>
    <t>S10_4962</t>
  </si>
  <si>
    <t>S12_1666</t>
  </si>
  <si>
    <t>S18_1097</t>
  </si>
  <si>
    <t>S18_2432</t>
  </si>
  <si>
    <t>S18_2949</t>
  </si>
  <si>
    <t>S18_2957</t>
  </si>
  <si>
    <t>S18_3136</t>
  </si>
  <si>
    <t>S18_3320</t>
  </si>
  <si>
    <t>S18_4600</t>
  </si>
  <si>
    <t>S18_4668</t>
  </si>
  <si>
    <t>S24_2300</t>
  </si>
  <si>
    <t>S24_4258</t>
  </si>
  <si>
    <t>S32_1268</t>
  </si>
  <si>
    <t>S32_3522</t>
  </si>
  <si>
    <t>S700_2824</t>
  </si>
  <si>
    <t>S12_3148</t>
  </si>
  <si>
    <t>S12_4473</t>
  </si>
  <si>
    <t>S18_2238</t>
  </si>
  <si>
    <t>S18_2319</t>
  </si>
  <si>
    <t>S18_3232</t>
  </si>
  <si>
    <t>S18_4027</t>
  </si>
  <si>
    <t>S24_1444</t>
  </si>
  <si>
    <t>S24_2840</t>
  </si>
  <si>
    <t>S24_4048</t>
  </si>
  <si>
    <t>S32_2509</t>
  </si>
  <si>
    <t>S32_3207</t>
  </si>
  <si>
    <t>S50_1392</t>
  </si>
  <si>
    <t>S50_1514</t>
  </si>
  <si>
    <t>S10_4757</t>
  </si>
  <si>
    <t>S12_1108</t>
  </si>
  <si>
    <t>S12_3891</t>
  </si>
  <si>
    <t>S18_3140</t>
  </si>
  <si>
    <t>S18_3259</t>
  </si>
  <si>
    <t>S18_4522</t>
  </si>
  <si>
    <t>S24_2011</t>
  </si>
  <si>
    <t>S24_3151</t>
  </si>
  <si>
    <t>S24_3816</t>
  </si>
  <si>
    <t>S700_1138</t>
  </si>
  <si>
    <t>S700_1938</t>
  </si>
  <si>
    <t>S700_2610</t>
  </si>
  <si>
    <t>S700_3505</t>
  </si>
  <si>
    <t>S700_3962</t>
  </si>
  <si>
    <t>S72_3212</t>
  </si>
  <si>
    <t>S18_1662</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</si>
  <si>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</si>
  <si>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</si>
  <si>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</si>
  <si>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</si>
  <si>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</si>
  <si>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</si>
  <si>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</si>
  <si>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</si>
  <si>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</si>
  <si>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</si>
  <si>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</si>
  <si>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</si>
  <si>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</si>
  <si>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</si>
  <si>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</si>
  <si>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</si>
  <si>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</si>
  <si>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S10_1678</t>
  </si>
  <si>
    <t>S10_2016</t>
  </si>
  <si>
    <t>S10_4698</t>
  </si>
  <si>
    <t>S12_2823</t>
  </si>
  <si>
    <t>S18_2625</t>
  </si>
  <si>
    <t>S24_1578</t>
  </si>
  <si>
    <t>S24_2000</t>
  </si>
  <si>
    <t>S32_1374</t>
  </si>
  <si>
    <t>S12_1099</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</si>
  <si>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</si>
  <si>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</si>
  <si>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</si>
  <si>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</si>
  <si>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</si>
  <si>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</si>
  <si>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</si>
  <si>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</si>
  <si>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</si>
  <si>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</si>
  <si>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</si>
  <si>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</si>
  <si>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</si>
  <si>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</si>
  <si>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</si>
  <si>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</si>
  <si>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S18_1984</t>
  </si>
  <si>
    <t>S18_2870</t>
  </si>
  <si>
    <t>S18_3685</t>
  </si>
  <si>
    <t>S24_2972</t>
  </si>
  <si>
    <t>S18_1589</t>
  </si>
  <si>
    <t>S18_4933</t>
  </si>
  <si>
    <t>S24_1046</t>
  </si>
  <si>
    <t>S24_1628</t>
  </si>
  <si>
    <t>S24_2766</t>
  </si>
  <si>
    <t>S24_2887</t>
  </si>
  <si>
    <t>S24_3191</t>
  </si>
  <si>
    <t>S24_3432</t>
  </si>
  <si>
    <t>amount</t>
  </si>
  <si>
    <t>orderDate</t>
  </si>
  <si>
    <t>status</t>
  </si>
  <si>
    <t>Shipped</t>
  </si>
  <si>
    <t>Resolved</t>
  </si>
  <si>
    <t>Cancelled</t>
  </si>
  <si>
    <t>paymentDate</t>
  </si>
  <si>
    <t>productName</t>
  </si>
  <si>
    <t>productLine</t>
  </si>
  <si>
    <t>1969 Harley Davidson Ultimate Chopper</t>
  </si>
  <si>
    <t>Motorcycles</t>
  </si>
  <si>
    <t>1952 Alpine Renault 1300</t>
  </si>
  <si>
    <t>Classic Cars</t>
  </si>
  <si>
    <t>1996 Moto Guzzi 1100i</t>
  </si>
  <si>
    <t>2003 Harley-Davidson Eagle Drag Bike</t>
  </si>
  <si>
    <t>1972 Alfa Romeo GTA</t>
  </si>
  <si>
    <t>1962 LanciaA Delta 16V</t>
  </si>
  <si>
    <t>1968 Ford Mustang</t>
  </si>
  <si>
    <t>2001 Ferrari Enzo</t>
  </si>
  <si>
    <t>1958 Setra Bus</t>
  </si>
  <si>
    <t>Trucks and Buses</t>
  </si>
  <si>
    <t>2002 Suzuki XREO</t>
  </si>
  <si>
    <t>1969 Corvair Monza</t>
  </si>
  <si>
    <t>1968 Dodge Charger</t>
  </si>
  <si>
    <t>1969 Ford Falcon</t>
  </si>
  <si>
    <t>1970 Plymouth Hemi Cuda</t>
  </si>
  <si>
    <t>1957 Chevy Pickup</t>
  </si>
  <si>
    <t>1969 Dodge Charger</t>
  </si>
  <si>
    <t>1940 Ford Pickup Truck</t>
  </si>
  <si>
    <t>1993 Mazda RX-7</t>
  </si>
  <si>
    <t>1937 Lincoln Berline</t>
  </si>
  <si>
    <t>Vintage Cars</t>
  </si>
  <si>
    <t>1936 Mercedes-Benz 500K Special Roadster</t>
  </si>
  <si>
    <t>1965 Aston Martin DB5</t>
  </si>
  <si>
    <t>1980s Black Hawk Helicopter</t>
  </si>
  <si>
    <t>Planes</t>
  </si>
  <si>
    <t>1917 Grand Touring Sedan</t>
  </si>
  <si>
    <t>1948 Porsche 356-A Roadster</t>
  </si>
  <si>
    <t>1995 Honda Civic</t>
  </si>
  <si>
    <t>1998 Chrysler Plymouth Prowler</t>
  </si>
  <si>
    <t>1911 Ford Town Car</t>
  </si>
  <si>
    <t>1964 Mercedes Tour Bus</t>
  </si>
  <si>
    <t>1932 Model A Ford J-Coupe</t>
  </si>
  <si>
    <t>1926 Ford Fire Engine</t>
  </si>
  <si>
    <t>P-51-D Mustang</t>
  </si>
  <si>
    <t>1936 Harley Davidson El Knucklehead</t>
  </si>
  <si>
    <t>1928 Mercedes-Benz SSK</t>
  </si>
  <si>
    <t>1999 Indy 500 Monte Carlo SS</t>
  </si>
  <si>
    <t>1913 Ford Model T Speedster</t>
  </si>
  <si>
    <t>1934 Ford V8 Coupe</t>
  </si>
  <si>
    <t>1999 Yamaha Speed Boat</t>
  </si>
  <si>
    <t>Ships</t>
  </si>
  <si>
    <t>18th Century Vintage Horse Carriage</t>
  </si>
  <si>
    <t>1903 Ford Model A</t>
  </si>
  <si>
    <t>1992 Ferrari 360 Spider red</t>
  </si>
  <si>
    <t>S18_3233</t>
  </si>
  <si>
    <t>1985 Toyota Supra</t>
  </si>
  <si>
    <t>Collectable Wooden Train</t>
  </si>
  <si>
    <t>Trains</t>
  </si>
  <si>
    <t>1969 Dodge Super Bee</t>
  </si>
  <si>
    <t>1917 Maxwell Touring Car</t>
  </si>
  <si>
    <t>1976 Ford Gran Torino</t>
  </si>
  <si>
    <t>1948 Porsche Type 356 Roadster</t>
  </si>
  <si>
    <t>1957 Vespa GS150</t>
  </si>
  <si>
    <t>1941 Chevrolet Special Deluxe Cabriolet</t>
  </si>
  <si>
    <t>1970 Triumph Spitfire</t>
  </si>
  <si>
    <t>1932 Alfa Romeo 8C2300 Spider Sport</t>
  </si>
  <si>
    <t>1904 Buick Runabout</t>
  </si>
  <si>
    <t>1940s Ford truck</t>
  </si>
  <si>
    <t>1939 Cadillac Limousine</t>
  </si>
  <si>
    <t>1957 Corvette Convertible</t>
  </si>
  <si>
    <t>1957 Ford Thunderbird</t>
  </si>
  <si>
    <t>1970 Chevy Chevelle SS 454</t>
  </si>
  <si>
    <t>1970 Dodge Coronet</t>
  </si>
  <si>
    <t>1997 BMW R 1100 S</t>
  </si>
  <si>
    <t>1966 Shelby Cobra 427 S/C</t>
  </si>
  <si>
    <t>1928 British Royal Navy Airplane</t>
  </si>
  <si>
    <t>1939 Chevrolet Deluxe Coupe</t>
  </si>
  <si>
    <t>1960 BSA Gold Star DBD34</t>
  </si>
  <si>
    <t>18th century schooner</t>
  </si>
  <si>
    <t>1938 Cadillac V-16 Presidential Limousine</t>
  </si>
  <si>
    <t>1962 Volkswagen Microbus</t>
  </si>
  <si>
    <t>1982 Ducati 900 Monster</t>
  </si>
  <si>
    <t>1949 Jaguar XK 120</t>
  </si>
  <si>
    <t>1958 Chevy Corvette Limited Edition</t>
  </si>
  <si>
    <t>1900s Vintage Bi-Plane</t>
  </si>
  <si>
    <t>1952 Citroen-15CV</t>
  </si>
  <si>
    <t>1982 Lamborghini Diablo</t>
  </si>
  <si>
    <t>1912 Ford Model T Delivery Wagon</t>
  </si>
  <si>
    <t>1969 Chevrolet Camaro Z28</t>
  </si>
  <si>
    <t>1971 Alpine Renault 1600s</t>
  </si>
  <si>
    <t>1937 Horch 930V Limousine</t>
  </si>
  <si>
    <t>2002 Chevy Corvette</t>
  </si>
  <si>
    <t>1940 Ford Delivery Sedan</t>
  </si>
  <si>
    <t>1956 Porsche 356A Coupe</t>
  </si>
  <si>
    <t>Corsair F4U ( Bird Cage)</t>
  </si>
  <si>
    <t>1936 Mercedes Benz 500k Roadster</t>
  </si>
  <si>
    <t>1992 Porsche Cayenne Turbo Silver</t>
  </si>
  <si>
    <t>1936 Chrysler Airflow</t>
  </si>
  <si>
    <t>1900s Vintage Tri-Plane</t>
  </si>
  <si>
    <t>1961 Chevrolet Impala</t>
  </si>
  <si>
    <t>1980â€™s GM Manhattan Express</t>
  </si>
  <si>
    <t>1997 BMW F650 ST</t>
  </si>
  <si>
    <t>1982 Ducati 996 R</t>
  </si>
  <si>
    <t>1954 Greyhound Scenicruiser</t>
  </si>
  <si>
    <t>1950's Chicago Surface Lines Streetcar</t>
  </si>
  <si>
    <t>1996 Peterbilt 379 Stake Bed with Outrigger</t>
  </si>
  <si>
    <t>1928 Ford Phaeton Deluxe</t>
  </si>
  <si>
    <t>1974 Ducati 350 Mk3 Desmo</t>
  </si>
  <si>
    <t>1930 Buick Marquette Phaeton</t>
  </si>
  <si>
    <t>Diamond T620 Semi-Skirted Tanker</t>
  </si>
  <si>
    <t>1962 City of Detroit Streetcar</t>
  </si>
  <si>
    <t>2002 Yamaha YZR M1</t>
  </si>
  <si>
    <t>The Schooner Bluenose</t>
  </si>
  <si>
    <t>American Airlines: B767-300</t>
  </si>
  <si>
    <t>The Mayflower</t>
  </si>
  <si>
    <t>HMS Bounty</t>
  </si>
  <si>
    <t>America West Airlines B757-200</t>
  </si>
  <si>
    <t>The USS Constitution Ship</t>
  </si>
  <si>
    <t>1982 Camaro Z28</t>
  </si>
  <si>
    <t>ATA: B757-300</t>
  </si>
  <si>
    <t>F/A 18 Hornet 1/72</t>
  </si>
  <si>
    <t>The Titanic</t>
  </si>
  <si>
    <t>The Queen Mary</t>
  </si>
  <si>
    <t>American Airlines: MD-11S</t>
  </si>
  <si>
    <t>Boeing X-32A JSF</t>
  </si>
  <si>
    <t>Pont Yacht</t>
  </si>
  <si>
    <t>quantityInStock</t>
  </si>
  <si>
    <t>ships</t>
  </si>
  <si>
    <t>months</t>
  </si>
  <si>
    <t>Row Labels</t>
  </si>
  <si>
    <t>Grand Total</t>
  </si>
  <si>
    <t>Sum of quantityOrdered</t>
  </si>
  <si>
    <t>Sum of amount</t>
  </si>
  <si>
    <t>July</t>
  </si>
  <si>
    <t>August</t>
  </si>
  <si>
    <t>September</t>
  </si>
  <si>
    <t>October</t>
  </si>
  <si>
    <t>November</t>
  </si>
  <si>
    <t>December</t>
  </si>
  <si>
    <t>productCode2</t>
  </si>
  <si>
    <t>sales</t>
  </si>
  <si>
    <t>Count of quantityOrdered</t>
  </si>
  <si>
    <t>category</t>
  </si>
  <si>
    <t>Year</t>
  </si>
  <si>
    <t>Week</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</si>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</sst>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_ ;_-[$$-409]* \-#,##0\ ;_-[$$-409]* &quot;-&quot;??_ ;_-@_ "/>
    <numFmt numFmtId="166" formatCode="[$$-409]#,##0.00"/>
    <numFmt numFmtId="167" formatCode="[$$-409]#,##0_ ;\-[$$-409]#,##0\ "/>
  </numFmts>
  <fonts count="3" x14ac:knownFonts="1">
    <font>
      <sz val="11"/>
      <color theme="1"/>
      <name val="Calibri"/>
      <family val="2"/>
      <scheme val="minor"/>
    </font>
    <font>
      <sz val="11"/>
      <color rgb="FFFF0000"/>
      <name val="Calibri"/>
      <family val="2"/>
      <scheme val="minor"/>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indexed="64"/>
      </left>
      <right/>
      <top style="thin">
        <color indexed="64"/>
      </top>
      <bottom/>
      <diagonal/>
    </border>
    <border>
      <left style="thin">
        <color indexed="64"/>
      </left>
      <right/>
      <top style="thin">
        <color theme="4" tint="0.39997558519241921"/>
      </top>
      <bottom/>
      <diagonal/>
    </border>
    <border>
      <left/>
      <right/>
      <top style="thin">
        <color indexed="64"/>
      </top>
      <bottom/>
      <diagonal/>
    </border>
    <border>
      <left style="thin">
        <color theme="4" tint="0.39997558519241921"/>
      </left>
      <right/>
      <top/>
      <bottom/>
      <diagonal/>
    </border>
  </borders>
  <cellStyleXfs count="1">
    <xf numFmtId="0" fontId="0" fillId="0" borderId="0"/>
  </cellStyleXfs>
  <cellXfs count="40">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0" borderId="0" xfId="0" applyNumberFormat="1"/>
    <xf numFmtId="0" fontId="0" fillId="0" borderId="2" xfId="0" applyFont="1" applyBorder="1"/>
    <xf numFmtId="0" fontId="0" fillId="0" borderId="3" xfId="0" applyFont="1" applyBorder="1"/>
    <xf numFmtId="0" fontId="1" fillId="3" borderId="0" xfId="0" applyFont="1" applyFill="1"/>
    <xf numFmtId="0" fontId="0" fillId="4" borderId="4" xfId="0" applyFont="1" applyFill="1" applyBorder="1"/>
    <xf numFmtId="0" fontId="0" fillId="4" borderId="5" xfId="0" applyFont="1" applyFill="1" applyBorder="1"/>
    <xf numFmtId="14" fontId="0" fillId="4" borderId="5" xfId="0" applyNumberFormat="1" applyFont="1" applyFill="1" applyBorder="1"/>
    <xf numFmtId="0" fontId="0" fillId="0" borderId="4" xfId="0" applyFont="1" applyBorder="1"/>
    <xf numFmtId="0" fontId="0" fillId="0" borderId="5" xfId="0" applyFont="1" applyBorder="1"/>
    <xf numFmtId="14" fontId="0" fillId="0" borderId="5" xfId="0" applyNumberFormat="1" applyFont="1" applyBorder="1"/>
    <xf numFmtId="0" fontId="0" fillId="4" borderId="6" xfId="0" applyFont="1" applyFill="1" applyBorder="1"/>
    <xf numFmtId="0" fontId="0" fillId="4" borderId="7" xfId="0" applyFont="1" applyFill="1" applyBorder="1"/>
    <xf numFmtId="0" fontId="0" fillId="3" borderId="8" xfId="0" applyFont="1" applyFill="1" applyBorder="1"/>
    <xf numFmtId="0" fontId="0" fillId="4" borderId="8" xfId="0" applyFont="1" applyFill="1" applyBorder="1"/>
    <xf numFmtId="14" fontId="0" fillId="0" borderId="2" xfId="0" applyNumberFormat="1" applyFont="1" applyBorder="1"/>
    <xf numFmtId="0" fontId="2" fillId="3" borderId="1" xfId="0" applyFont="1" applyFill="1" applyBorder="1"/>
    <xf numFmtId="0" fontId="0" fillId="5" borderId="1" xfId="0" applyNumberFormat="1" applyFont="1" applyFill="1" applyBorder="1"/>
    <xf numFmtId="0" fontId="0" fillId="3" borderId="1" xfId="0" applyNumberFormat="1" applyFont="1" applyFill="1" applyBorder="1"/>
    <xf numFmtId="0" fontId="0" fillId="3" borderId="1" xfId="0" applyFill="1" applyBorder="1"/>
    <xf numFmtId="0" fontId="0" fillId="5" borderId="1" xfId="0" applyFont="1" applyFill="1" applyBorder="1"/>
    <xf numFmtId="0" fontId="0" fillId="3" borderId="1" xfId="0" applyFont="1" applyFill="1" applyBorder="1"/>
    <xf numFmtId="0" fontId="0" fillId="4" borderId="9" xfId="0" applyFont="1" applyFill="1" applyBorder="1"/>
    <xf numFmtId="0" fontId="0" fillId="4" borderId="0" xfId="0" applyFont="1" applyFill="1" applyBorder="1"/>
    <xf numFmtId="14" fontId="0" fillId="4" borderId="0" xfId="0" applyNumberFormat="1" applyFont="1" applyFill="1" applyBorder="1"/>
    <xf numFmtId="0" fontId="2" fillId="2" borderId="1" xfId="0" applyFont="1" applyFill="1" applyBorder="1"/>
    <xf numFmtId="164" fontId="2" fillId="2" borderId="1" xfId="0" applyNumberFormat="1" applyFont="1" applyFill="1" applyBorder="1"/>
    <xf numFmtId="166" fontId="0" fillId="4" borderId="0" xfId="0" applyNumberFormat="1" applyFont="1" applyFill="1" applyBorder="1"/>
    <xf numFmtId="166" fontId="0" fillId="0" borderId="5" xfId="0" applyNumberFormat="1" applyFont="1" applyBorder="1"/>
    <xf numFmtId="166" fontId="0" fillId="4" borderId="5" xfId="0" applyNumberFormat="1" applyFont="1" applyFill="1" applyBorder="1"/>
    <xf numFmtId="166" fontId="0" fillId="0" borderId="2" xfId="0" applyNumberFormat="1" applyFont="1" applyBorder="1"/>
    <xf numFmtId="167" fontId="0" fillId="4" borderId="0" xfId="0" applyNumberFormat="1" applyFont="1" applyFill="1" applyBorder="1"/>
    <xf numFmtId="167" fontId="0" fillId="0" borderId="5" xfId="0" applyNumberFormat="1" applyFont="1" applyBorder="1"/>
    <xf numFmtId="167" fontId="0" fillId="4" borderId="5" xfId="0" applyNumberFormat="1" applyFont="1" applyFill="1" applyBorder="1"/>
    <xf numFmtId="167" fontId="0" fillId="0" borderId="2" xfId="0" applyNumberFormat="1" applyFont="1" applyBorder="1"/>
  </cellXfs>
  <cellStyles count="1">
    <cellStyle name="Normal" xfId="0" builtinId="0"/>
  </cellStyles>
  <dxfs count="2">
    <dxf>
      <fill>
        <patternFill>
          <fgColor theme="2"/>
        </patternFill>
      </fill>
      <border diagonalUp="0" diagonalDown="0">
        <left/>
        <right/>
        <top/>
        <bottom/>
        <vertical/>
        <horizontal/>
      </border>
    </dxf>
    <dxf>
      <fill>
        <patternFill>
          <bgColor theme="2"/>
        </patternFill>
      </fill>
    </dxf>
  </dxfs>
  <tableStyles count="3" defaultTableStyle="TableStyleMedium2" defaultPivotStyle="PivotStyleLight16">
    <tableStyle name="ab" pivot="0" table="0" count="1" xr9:uid="{E444F67A-3B9D-4F22-A1AD-A6FD87A709DC}">
      <tableStyleElement type="wholeTable" dxfId="1"/>
    </tableStyle>
    <tableStyle name="ab2" pivot="0" table="0" count="0" xr9:uid="{8ACDA453-21F0-4778-ABE8-BB949B6ED397}"/>
    <tableStyle name="ab3" pivot="0" table="0" count="1" xr9:uid="{48AF2EA9-7935-461F-A282-19FD6242EBE4}">
      <tableStyleElement type="wholeTable" dxfId="0"/>
    </tableStyle>
  </tableStyles>
  <colors>
    <mruColors>
      <color rgb="FF09FFED"/>
      <color rgb="FF44FF09"/>
    </mruColors>
  </colors>
  <extLst>
    <ext xmlns:x14="http://schemas.microsoft.com/office/spreadsheetml/2009/9/main" uri="{EB79DEF2-80B8-43e5-95BD-54CBDDF9020C}">
      <x14:slicerStyles defaultSlicerStyle="SlicerStyleLight1">
        <x14:slicerStyle name="ab"/>
        <x14:slicerStyle name="ab2"/>
        <x14:slicerStyle name="ab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[classic models dataset.xlsx]Sheet2!PivotTable4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Arial" panose="020B0604020202020204" pitchFamily="34" charset="0"/>
              </a:defRPr>
            </a:pPr>
            <a:r>
              <a:rPr lang="en-IN" b="1">
                <a:solidFill>
                  <a:schemeClr val="tx1"/>
                </a:solidFill>
                <a:latin typeface="Arial Black" panose="020B0A04020102020204" pitchFamily="34" charset="0"/>
                <a:cs typeface="Arial" panose="020B0604020202020204" pitchFamily="34" charset="0"/>
              </a:rPr>
              <a:t>Sales</a:t>
            </a:r>
            <a:r>
              <a:rPr lang="en-IN" b="1" baseline="0">
                <a:solidFill>
                  <a:schemeClr val="tx1"/>
                </a:solidFill>
                <a:latin typeface="Arial Black" panose="020B0A04020102020204" pitchFamily="34" charset="0"/>
                <a:cs typeface="Arial" panose="020B0604020202020204" pitchFamily="34" charset="0"/>
              </a:rPr>
              <a:t> and Quantity of Months</a:t>
            </a:r>
            <a:endParaRPr lang="en-IN" b="1">
              <a:solidFill>
                <a:schemeClr val="tx1"/>
              </a:solidFill>
              <a:latin typeface="Arial Black" panose="020B0A040201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4000">
                <a:srgbClr val="002060"/>
              </a:gs>
              <a:gs pos="100000">
                <a:srgbClr val="00B0F0"/>
              </a:gs>
              <a:gs pos="10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bg1"/>
              </a:gs>
              <a:gs pos="7000">
                <a:srgbClr val="09FFED"/>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Sheet2!$J$13</c:f>
              <c:strCache>
                <c:ptCount val="1"/>
                <c:pt idx="0">
                  <c:v>Sum of quantityOrdered</c:v>
                </c:pt>
              </c:strCache>
            </c:strRef>
          </c:tx>
          <c:spPr>
            <a:gradFill>
              <a:gsLst>
                <a:gs pos="14000">
                  <a:srgbClr val="002060"/>
                </a:gs>
                <a:gs pos="100000">
                  <a:srgbClr val="00B0F0"/>
                </a:gs>
                <a:gs pos="10000">
                  <a:srgbClr val="92D050"/>
                </a:gs>
              </a:gsLst>
              <a:lin ang="5400000" scaled="1"/>
            </a:gradFill>
            <a:ln>
              <a:noFill/>
            </a:ln>
            <a:effectLst/>
          </c:spPr>
          <c:cat>
            <c:strRef>
              <c:f>Sheet2!$H$14:$H$20</c:f>
              <c:strCache>
                <c:ptCount val="6"/>
                <c:pt idx="0">
                  <c:v>August</c:v>
                </c:pt>
                <c:pt idx="1">
                  <c:v>September</c:v>
                </c:pt>
                <c:pt idx="2">
                  <c:v>July</c:v>
                </c:pt>
                <c:pt idx="3">
                  <c:v>December</c:v>
                </c:pt>
                <c:pt idx="4">
                  <c:v>October</c:v>
                </c:pt>
                <c:pt idx="5">
                  <c:v>November</c:v>
                </c:pt>
              </c:strCache>
            </c:strRef>
          </c:cat>
          <c:val>
            <c:numRef>
              <c:f>Sheet2!$J$14:$J$20</c:f>
              <c:numCache>
                <c:formatCode>General</c:formatCode>
                <c:ptCount val="6"/>
                <c:pt idx="0">
                  <c:v>173</c:v>
                </c:pt>
                <c:pt idx="1">
                  <c:v>281</c:v>
                </c:pt>
                <c:pt idx="2">
                  <c:v>266</c:v>
                </c:pt>
                <c:pt idx="3">
                  <c:v>325</c:v>
                </c:pt>
                <c:pt idx="4">
                  <c:v>535</c:v>
                </c:pt>
                <c:pt idx="5">
                  <c:v>1020</c:v>
                </c:pt>
              </c:numCache>
            </c:numRef>
          </c:val>
          <c:extLst>
            <c:ext xmlns:c16="http://schemas.microsoft.com/office/drawing/2014/chart" uri="{C3380CC4-5D6E-409C-BE32-E72D297353CC}">
              <c16:uniqueId val="{00000000-3E4D-412E-8171-5ED91C56E6A3}"/>
            </c:ext>
          </c:extLst>
        </c:ser>
        <c:dLbls>
          <c:showLegendKey val="0"/>
          <c:showVal val="0"/>
          <c:showCatName val="0"/>
          <c:showSerName val="0"/>
          <c:showPercent val="0"/>
          <c:showBubbleSize val="0"/>
        </c:dLbls>
        <c:axId val="580317455"/>
        <c:axId val="580315055"/>
      </c:areaChart>
      <c:barChart>
        <c:barDir val="col"/>
        <c:grouping val="clustered"/>
        <c:varyColors val="0"/>
        <c:ser>
          <c:idx val="0"/>
          <c:order val="0"/>
          <c:tx>
            <c:strRef>
              <c:f>Sheet2!$I$13</c:f>
              <c:strCache>
                <c:ptCount val="1"/>
                <c:pt idx="0">
                  <c:v>Sum of amount</c:v>
                </c:pt>
              </c:strCache>
            </c:strRef>
          </c:tx>
          <c:spPr>
            <a:gradFill>
              <a:gsLst>
                <a:gs pos="100000">
                  <a:schemeClr val="bg1"/>
                </a:gs>
                <a:gs pos="7000">
                  <a:srgbClr val="09FFED"/>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Sheet2!$H$14:$H$20</c:f>
              <c:strCache>
                <c:ptCount val="6"/>
                <c:pt idx="0">
                  <c:v>August</c:v>
                </c:pt>
                <c:pt idx="1">
                  <c:v>September</c:v>
                </c:pt>
                <c:pt idx="2">
                  <c:v>July</c:v>
                </c:pt>
                <c:pt idx="3">
                  <c:v>December</c:v>
                </c:pt>
                <c:pt idx="4">
                  <c:v>October</c:v>
                </c:pt>
                <c:pt idx="5">
                  <c:v>November</c:v>
                </c:pt>
              </c:strCache>
            </c:strRef>
          </c:cat>
          <c:val>
            <c:numRef>
              <c:f>Sheet2!$I$14:$I$20</c:f>
              <c:numCache>
                <c:formatCode>_-[$$-409]* #,##0_ ;_-[$$-409]* \-#,##0\ ;_-[$$-409]* "-"??_ ;_-@_ </c:formatCode>
                <c:ptCount val="6"/>
                <c:pt idx="0">
                  <c:v>18620.63</c:v>
                </c:pt>
                <c:pt idx="1">
                  <c:v>20512.059999999998</c:v>
                </c:pt>
                <c:pt idx="2">
                  <c:v>27670.81</c:v>
                </c:pt>
                <c:pt idx="3">
                  <c:v>37873.199999999997</c:v>
                </c:pt>
                <c:pt idx="4">
                  <c:v>43334.37</c:v>
                </c:pt>
                <c:pt idx="5">
                  <c:v>93703.72</c:v>
                </c:pt>
              </c:numCache>
            </c:numRef>
          </c:val>
          <c:extLst>
            <c:ext xmlns:c16="http://schemas.microsoft.com/office/drawing/2014/chart" uri="{C3380CC4-5D6E-409C-BE32-E72D297353CC}">
              <c16:uniqueId val="{00000001-3E4D-412E-8171-5ED91C56E6A3}"/>
            </c:ext>
          </c:extLst>
        </c:ser>
        <c:dLbls>
          <c:showLegendKey val="0"/>
          <c:showVal val="0"/>
          <c:showCatName val="0"/>
          <c:showSerName val="0"/>
          <c:showPercent val="0"/>
          <c:showBubbleSize val="0"/>
        </c:dLbls>
        <c:gapWidth val="219"/>
        <c:axId val="623051119"/>
        <c:axId val="521057391"/>
      </c:barChart>
      <c:catAx>
        <c:axId val="62305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1057391"/>
        <c:crosses val="autoZero"/>
        <c:auto val="1"/>
        <c:lblAlgn val="ctr"/>
        <c:lblOffset val="100"/>
        <c:noMultiLvlLbl val="0"/>
      </c:catAx>
      <c:valAx>
        <c:axId val="52105739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3051119"/>
        <c:crosses val="autoZero"/>
        <c:crossBetween val="between"/>
      </c:valAx>
      <c:valAx>
        <c:axId val="5803150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0317455"/>
        <c:crosses val="max"/>
        <c:crossBetween val="between"/>
      </c:valAx>
      <c:catAx>
        <c:axId val="580317455"/>
        <c:scaling>
          <c:orientation val="minMax"/>
        </c:scaling>
        <c:delete val="1"/>
        <c:axPos val="b"/>
        <c:numFmt formatCode="General" sourceLinked="1"/>
        <c:majorTickMark val="out"/>
        <c:minorTickMark val="none"/>
        <c:tickLblPos val="nextTo"/>
        <c:crossAx val="580315055"/>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[classic models dataset.xlsx]Sheet2!PivotTable5</c:name>
    <c:fmtId val="4"/>
  </c:pivotSource>
  <c:chart>
    <c:title>
      <c:tx>
        <c:rich>
          <a:bodyPr rot="0" spcFirstLastPara="1" vertOverflow="ellipsis" vert="horz" wrap="square" anchor="ctr" anchorCtr="1"/>
          <a:lstStyle/>
          <a:p>
            <a:pPr>
              <a:defRPr sz="1800" b="0" i="0" u="none" strike="noStrike" kern="1200" cap="all" spc="50" baseline="0">
                <a:solidFill>
                  <a:schemeClr val="tx1">
                    <a:lumMod val="65000"/>
                    <a:lumOff val="35000"/>
                  </a:schemeClr>
                </a:solidFill>
                <a:latin typeface="Arial Black" panose="020B0A04020102020204" pitchFamily="34" charset="0"/>
                <a:ea typeface="+mn-ea"/>
                <a:cs typeface="Arial" panose="020B0604020202020204" pitchFamily="34" charset="0"/>
              </a:defRPr>
            </a:pPr>
            <a:r>
              <a:rPr lang="en-US" b="0">
                <a:latin typeface="Arial Black" panose="020B0A04020102020204" pitchFamily="34" charset="0"/>
                <a:cs typeface="Arial" panose="020B0604020202020204" pitchFamily="34" charset="0"/>
              </a:rPr>
              <a:t>TOP</a:t>
            </a:r>
            <a:r>
              <a:rPr lang="en-US" b="0" baseline="0">
                <a:latin typeface="Arial Black" panose="020B0A04020102020204" pitchFamily="34" charset="0"/>
                <a:cs typeface="Arial" panose="020B0604020202020204" pitchFamily="34" charset="0"/>
              </a:rPr>
              <a:t> 5 Customer</a:t>
            </a:r>
            <a:endParaRPr lang="en-US" b="0">
              <a:latin typeface="Arial Black" panose="020B0A040201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spc="50" baseline="0">
              <a:solidFill>
                <a:schemeClr val="tx1">
                  <a:lumMod val="65000"/>
                  <a:lumOff val="35000"/>
                </a:schemeClr>
              </a:solidFill>
              <a:latin typeface="Arial Black" panose="020B0A040201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Sheet2!$G$3:$G$8</c:f>
              <c:strCache>
                <c:ptCount val="5"/>
                <c:pt idx="0">
                  <c:v>Collectables For Less Inc.</c:v>
                </c:pt>
                <c:pt idx="1">
                  <c:v>Enaco Distributors</c:v>
                </c:pt>
                <c:pt idx="2">
                  <c:v>Mini Auto Werke</c:v>
                </c:pt>
                <c:pt idx="3">
                  <c:v>Feuer Online Stores, Inc</c:v>
                </c:pt>
                <c:pt idx="4">
                  <c:v>Boards &amp; Toys Co.</c:v>
                </c:pt>
              </c:strCache>
            </c:strRef>
          </c:cat>
          <c:val>
            <c:numRef>
              <c:f>Sheet2!$H$3:$H$8</c:f>
              <c:numCache>
                <c:formatCode>_-[$$-409]* #,##0_ ;_-[$$-409]* \-#,##0\ ;_-[$$-409]* "-"??_ ;_-@_ </c:formatCode>
                <c:ptCount val="5"/>
                <c:pt idx="0">
                  <c:v>6154.2800000000007</c:v>
                </c:pt>
                <c:pt idx="1">
                  <c:v>6392</c:v>
                </c:pt>
                <c:pt idx="2">
                  <c:v>6426</c:v>
                </c:pt>
                <c:pt idx="3">
                  <c:v>7400.02</c:v>
                </c:pt>
                <c:pt idx="4">
                  <c:v>8434.52</c:v>
                </c:pt>
              </c:numCache>
            </c:numRef>
          </c:val>
          <c:extLst>
            <c:ext xmlns:c16="http://schemas.microsoft.com/office/drawing/2014/chart" uri="{C3380CC4-5D6E-409C-BE32-E72D297353CC}">
              <c16:uniqueId val="{00000000-62DB-42D5-B150-D841635010B3}"/>
            </c:ext>
          </c:extLst>
        </c:ser>
        <c:dLbls>
          <c:dLblPos val="outEnd"/>
          <c:showLegendKey val="0"/>
          <c:showVal val="1"/>
          <c:showCatName val="0"/>
          <c:showSerName val="0"/>
          <c:showPercent val="0"/>
          <c:showBubbleSize val="0"/>
        </c:dLbls>
        <c:gapWidth val="78"/>
        <c:overlap val="-70"/>
        <c:axId val="226106447"/>
        <c:axId val="226111247"/>
      </c:barChart>
      <c:catAx>
        <c:axId val="2261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111247"/>
        <c:crosses val="autoZero"/>
        <c:auto val="1"/>
        <c:lblAlgn val="ctr"/>
        <c:lblOffset val="100"/>
        <c:noMultiLvlLbl val="0"/>
      </c:catAx>
      <c:valAx>
        <c:axId val="226111247"/>
        <c:scaling>
          <c:orientation val="minMax"/>
        </c:scaling>
        <c:delete val="1"/>
        <c:axPos val="l"/>
        <c:numFmt formatCode="_-[$$-409]* #,##0_ ;_-[$$-409]* \-#,##0\ ;_-[$$-409]* &quot;-&quot;??_ ;_-@_ " sourceLinked="1"/>
        <c:majorTickMark val="none"/>
        <c:minorTickMark val="none"/>
        <c:tickLblPos val="nextTo"/>
        <c:crossAx val="22610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[classic models dataset.xlsx]Sheet2!PivotTable3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Arial" panose="020B0604020202020204" pitchFamily="34" charset="0"/>
              </a:defRPr>
            </a:pPr>
            <a:r>
              <a:rPr lang="en-US" b="1">
                <a:solidFill>
                  <a:schemeClr val="tx1"/>
                </a:solidFill>
                <a:latin typeface="Arial Black" panose="020B0A04020102020204" pitchFamily="34" charset="0"/>
                <a:cs typeface="Arial" panose="020B0604020202020204" pitchFamily="34" charset="0"/>
              </a:rPr>
              <a:t>Total Quantity of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9FFED"/>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rgbClr val="44FF09"/>
          </a:solidFill>
          <a:ln w="19050">
            <a:solidFill>
              <a:schemeClr val="lt1"/>
            </a:solidFill>
          </a:ln>
          <a:effectLst/>
        </c:spPr>
      </c:pivotFmt>
      <c:pivotFmt>
        <c:idx val="10"/>
        <c:spPr>
          <a:solidFill>
            <a:srgbClr val="00B0F0"/>
          </a:solidFill>
          <a:ln w="19050">
            <a:solidFill>
              <a:schemeClr val="lt1"/>
            </a:solidFill>
          </a:ln>
          <a:effectLst/>
        </c:spPr>
      </c:pivotFmt>
    </c:pivotFmts>
    <c:plotArea>
      <c:layout>
        <c:manualLayout>
          <c:layoutTarget val="inner"/>
          <c:xMode val="edge"/>
          <c:yMode val="edge"/>
          <c:x val="0.25462139721788563"/>
          <c:y val="0.26082031282139889"/>
          <c:w val="0.40531998865871843"/>
          <c:h val="0.68248174241377724"/>
        </c:manualLayout>
      </c:layout>
      <c:pieChart>
        <c:varyColors val="1"/>
        <c:ser>
          <c:idx val="0"/>
          <c:order val="0"/>
          <c:tx>
            <c:strRef>
              <c:f>Sheet2!$C$13</c:f>
              <c:strCache>
                <c:ptCount val="1"/>
                <c:pt idx="0">
                  <c:v>Total</c:v>
                </c:pt>
              </c:strCache>
            </c:strRef>
          </c:tx>
          <c:dPt>
            <c:idx val="0"/>
            <c:bubble3D val="0"/>
            <c:spPr>
              <a:solidFill>
                <a:srgbClr val="09FFED"/>
              </a:solidFill>
              <a:ln w="19050">
                <a:solidFill>
                  <a:schemeClr val="lt1"/>
                </a:solidFill>
              </a:ln>
              <a:effectLst/>
            </c:spPr>
            <c:extLst>
              <c:ext xmlns:c16="http://schemas.microsoft.com/office/drawing/2014/chart" uri="{C3380CC4-5D6E-409C-BE32-E72D297353CC}">
                <c16:uniqueId val="{00000001-4650-4F82-94EF-074290AD815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650-4F82-94EF-074290AD8159}"/>
              </c:ext>
            </c:extLst>
          </c:dPt>
          <c:dPt>
            <c:idx val="2"/>
            <c:bubble3D val="0"/>
            <c:spPr>
              <a:solidFill>
                <a:srgbClr val="44FF09"/>
              </a:solidFill>
              <a:ln w="19050">
                <a:solidFill>
                  <a:schemeClr val="lt1"/>
                </a:solidFill>
              </a:ln>
              <a:effectLst/>
            </c:spPr>
            <c:extLst>
              <c:ext xmlns:c16="http://schemas.microsoft.com/office/drawing/2014/chart" uri="{C3380CC4-5D6E-409C-BE32-E72D297353CC}">
                <c16:uniqueId val="{00000005-4650-4F82-94EF-074290AD8159}"/>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4650-4F82-94EF-074290AD81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Sheet2!$B$14:$B$18</c:f>
              <c:strCache>
                <c:ptCount val="4"/>
                <c:pt idx="0">
                  <c:v>France</c:v>
                </c:pt>
                <c:pt idx="1">
                  <c:v>Germany</c:v>
                </c:pt>
                <c:pt idx="2">
                  <c:v>Spain</c:v>
                </c:pt>
                <c:pt idx="3">
                  <c:v>USA</c:v>
                </c:pt>
              </c:strCache>
            </c:strRef>
          </c:cat>
          <c:val>
            <c:numRef>
              <c:f>Sheet2!$C$14:$C$18</c:f>
              <c:numCache>
                <c:formatCode>0.00%</c:formatCode>
                <c:ptCount val="4"/>
                <c:pt idx="0">
                  <c:v>0.16880341880341881</c:v>
                </c:pt>
                <c:pt idx="1">
                  <c:v>0.26353276353276356</c:v>
                </c:pt>
                <c:pt idx="2">
                  <c:v>0.10754985754985755</c:v>
                </c:pt>
                <c:pt idx="3">
                  <c:v>0.46011396011396011</c:v>
                </c:pt>
              </c:numCache>
            </c:numRef>
          </c:val>
          <c:extLst>
            <c:ext xmlns:c16="http://schemas.microsoft.com/office/drawing/2014/chart" uri="{C3380CC4-5D6E-409C-BE32-E72D297353CC}">
              <c16:uniqueId val="{00000008-4650-4F82-94EF-074290AD815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[classic models dataset.xlsx]Sheet2!PivotTable6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Arial Black" panose="020B0A04020102020204" pitchFamily="34" charset="0"/>
                <a:ea typeface="+mn-ea"/>
                <a:cs typeface="Arial" panose="020B0604020202020204" pitchFamily="34" charset="0"/>
              </a:defRPr>
            </a:pPr>
            <a:r>
              <a:rPr lang="en-US" b="1">
                <a:latin typeface="Arial Black" panose="020B0A04020102020204" pitchFamily="34" charset="0"/>
                <a:cs typeface="Arial" panose="020B0604020202020204" pitchFamily="34" charset="0"/>
              </a:rPr>
              <a:t>Quantity of ProductLine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502157312695005"/>
              <c:y val="-9.181639612629737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2.6749203052779127E-3"/>
              <c:y val="7.1856310011884889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7030A0"/>
          </a:solidFill>
          <a:ln w="19050">
            <a:solidFill>
              <a:schemeClr val="lt1"/>
            </a:solidFill>
          </a:ln>
          <a:effectLst/>
        </c:spPr>
        <c:dLbl>
          <c:idx val="0"/>
          <c:layout>
            <c:manualLayout>
              <c:x val="-0.10967173251639442"/>
              <c:y val="4.3912189451707433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B0F0"/>
          </a:solidFill>
          <a:ln w="19050">
            <a:solidFill>
              <a:schemeClr val="lt1"/>
            </a:solidFill>
          </a:ln>
          <a:effectLst/>
        </c:spPr>
        <c:dLbl>
          <c:idx val="0"/>
          <c:layout>
            <c:manualLayout>
              <c:x val="-0.16049521831667482"/>
              <c:y val="4.790420667458993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EC-437B-9734-E8F36C3D93E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FEC-437B-9734-E8F36C3D93E3}"/>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1FEC-437B-9734-E8F36C3D93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EC-437B-9734-E8F36C3D93E3}"/>
              </c:ext>
            </c:extLst>
          </c:dPt>
          <c:dPt>
            <c:idx val="4"/>
            <c:bubble3D val="0"/>
            <c:spPr>
              <a:solidFill>
                <a:srgbClr val="00B0F0"/>
              </a:solidFill>
              <a:ln w="19050">
                <a:solidFill>
                  <a:schemeClr val="lt1"/>
                </a:solidFill>
              </a:ln>
              <a:effectLst/>
            </c:spPr>
          </c:dPt>
          <c:dLbls>
            <c:dLbl>
              <c:idx val="0"/>
              <c:layout>
                <c:manualLayout>
                  <c:x val="0.11502157312695005"/>
                  <c:y val="-9.1816396126297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EC-437B-9734-E8F36C3D93E3}"/>
                </c:ext>
              </c:extLst>
            </c:dLbl>
            <c:dLbl>
              <c:idx val="1"/>
              <c:layout>
                <c:manualLayout>
                  <c:x val="2.6749203052779127E-3"/>
                  <c:y val="7.18563100118848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EC-437B-9734-E8F36C3D93E3}"/>
                </c:ext>
              </c:extLst>
            </c:dLbl>
            <c:dLbl>
              <c:idx val="2"/>
              <c:layout>
                <c:manualLayout>
                  <c:x val="-0.10967173251639442"/>
                  <c:y val="4.39121894517074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EC-437B-9734-E8F36C3D93E3}"/>
                </c:ext>
              </c:extLst>
            </c:dLbl>
            <c:dLbl>
              <c:idx val="4"/>
              <c:layout>
                <c:manualLayout>
                  <c:x val="-0.16049521831667482"/>
                  <c:y val="4.790420667458993E-2"/>
                </c:manualLayout>
              </c:layou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Sheet2!$E$14:$E$19</c:f>
              <c:strCache>
                <c:ptCount val="5"/>
                <c:pt idx="0">
                  <c:v>Classic Cars</c:v>
                </c:pt>
                <c:pt idx="1">
                  <c:v>Motorcycles</c:v>
                </c:pt>
                <c:pt idx="2">
                  <c:v>Planes</c:v>
                </c:pt>
                <c:pt idx="3">
                  <c:v>Ships</c:v>
                </c:pt>
                <c:pt idx="4">
                  <c:v>Vintage Cars</c:v>
                </c:pt>
              </c:strCache>
            </c:strRef>
          </c:cat>
          <c:val>
            <c:numRef>
              <c:f>Sheet2!$F$14:$F$19</c:f>
              <c:numCache>
                <c:formatCode>0%</c:formatCode>
                <c:ptCount val="5"/>
                <c:pt idx="0">
                  <c:v>0.33846153846153848</c:v>
                </c:pt>
                <c:pt idx="1">
                  <c:v>0.12307692307692308</c:v>
                </c:pt>
                <c:pt idx="2">
                  <c:v>0.13846153846153847</c:v>
                </c:pt>
                <c:pt idx="3">
                  <c:v>0.12307692307692308</c:v>
                </c:pt>
                <c:pt idx="4">
                  <c:v>0.27692307692307694</c:v>
                </c:pt>
              </c:numCache>
            </c:numRef>
          </c:val>
          <c:extLst>
            <c:ext xmlns:c16="http://schemas.microsoft.com/office/drawing/2014/chart" uri="{C3380CC4-5D6E-409C-BE32-E72D297353CC}">
              <c16:uniqueId val="{00000008-1FEC-437B-9734-E8F36C3D93E3}"/>
            </c:ext>
          </c:extLst>
        </c:ser>
        <c:dLbls>
          <c:showLegendKey val="0"/>
          <c:showVal val="0"/>
          <c:showCatName val="0"/>
          <c:showSerName val="0"/>
          <c:showPercent val="0"/>
          <c:showBubbleSize val="0"/>
          <c:showLeaderLines val="0"/>
        </c:dLbls>
        <c:firstSliceAng val="0"/>
        <c:holeSize val="75"/>
      </c:doughnut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[classic models dataset.xlsx]Sheet2!PivotTable2</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latin typeface="Arial Black" panose="020B0A04020102020204" pitchFamily="34" charset="0"/>
              </a:rPr>
              <a:t>Sales</a:t>
            </a:r>
            <a:r>
              <a:rPr lang="en-US" baseline="0">
                <a:latin typeface="Arial Black" panose="020B0A04020102020204" pitchFamily="34" charset="0"/>
              </a:rPr>
              <a:t> of Different Products</a:t>
            </a:r>
            <a:endParaRPr lang="en-US">
              <a:latin typeface="Arial Black" panose="020B0A04020102020204" pitchFamily="34" charset="0"/>
            </a:endParaRPr>
          </a:p>
        </c:rich>
      </c:tx>
      <c:layout>
        <c:manualLayout>
          <c:xMode val="edge"/>
          <c:yMode val="edge"/>
          <c:x val="0.25753155107108616"/>
          <c:y val="2.37247924080664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94000">
                <a:srgbClr val="09FFED"/>
              </a:gs>
              <a:gs pos="100000">
                <a:srgbClr val="FFFF00"/>
              </a:gs>
              <a:gs pos="0">
                <a:schemeClr val="tx1">
                  <a:lumMod val="50000"/>
                  <a:lumOff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Sheet2!$L$2</c:f>
              <c:strCache>
                <c:ptCount val="1"/>
                <c:pt idx="0">
                  <c:v>Total</c:v>
                </c:pt>
              </c:strCache>
            </c:strRef>
          </c:tx>
          <c:spPr>
            <a:gradFill rotWithShape="1">
              <a:gsLst>
                <a:gs pos="94000">
                  <a:srgbClr val="09FFED"/>
                </a:gs>
                <a:gs pos="100000">
                  <a:srgbClr val="FFFF00"/>
                </a:gs>
                <a:gs pos="0">
                  <a:schemeClr val="tx1">
                    <a:lumMod val="50000"/>
                    <a:lumOff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Sheet2!$K$3:$K$8</c:f>
              <c:strCache>
                <c:ptCount val="5"/>
                <c:pt idx="0">
                  <c:v>1950's Chicago Surface Lines Streetcar</c:v>
                </c:pt>
                <c:pt idx="1">
                  <c:v>1992 Ferrari 360 Spider red</c:v>
                </c:pt>
                <c:pt idx="2">
                  <c:v>ATA: B757-300</c:v>
                </c:pt>
                <c:pt idx="3">
                  <c:v>HMS Bounty</c:v>
                </c:pt>
                <c:pt idx="4">
                  <c:v>1985 Toyota Supra</c:v>
                </c:pt>
              </c:strCache>
            </c:strRef>
          </c:cat>
          <c:val>
            <c:numRef>
              <c:f>Sheet2!$L$3:$L$8</c:f>
              <c:numCache>
                <c:formatCode>_-[$$-409]* #,##0_ ;_-[$$-409]* \-#,##0\ ;_-[$$-409]* "-"??_ ;_-@_ </c:formatCode>
                <c:ptCount val="5"/>
                <c:pt idx="0">
                  <c:v>6154.2800000000007</c:v>
                </c:pt>
                <c:pt idx="1">
                  <c:v>6392</c:v>
                </c:pt>
                <c:pt idx="2">
                  <c:v>6426</c:v>
                </c:pt>
                <c:pt idx="3">
                  <c:v>7400.02</c:v>
                </c:pt>
                <c:pt idx="4">
                  <c:v>8434.52</c:v>
                </c:pt>
              </c:numCache>
            </c:numRef>
          </c:val>
          <c:extLst>
            <c:ext xmlns:c16="http://schemas.microsoft.com/office/drawing/2014/chart" uri="{C3380CC4-5D6E-409C-BE32-E72D297353CC}">
              <c16:uniqueId val="{00000000-F91B-4DEC-A709-BCEA8893A6A6}"/>
            </c:ext>
          </c:extLst>
        </c:ser>
        <c:dLbls>
          <c:dLblPos val="inEnd"/>
          <c:showLegendKey val="0"/>
          <c:showVal val="1"/>
          <c:showCatName val="0"/>
          <c:showSerName val="0"/>
          <c:showPercent val="0"/>
          <c:showBubbleSize val="0"/>
        </c:dLbls>
        <c:gapWidth val="70"/>
        <c:overlap val="-20"/>
        <c:axId val="226092047"/>
        <c:axId val="226092527"/>
      </c:barChart>
      <c:catAx>
        <c:axId val="226092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092527"/>
        <c:crosses val="autoZero"/>
        <c:auto val="1"/>
        <c:lblAlgn val="ctr"/>
        <c:lblOffset val="100"/>
        <c:noMultiLvlLbl val="0"/>
      </c:catAx>
      <c:valAx>
        <c:axId val="226092527"/>
        <c:scaling>
          <c:orientation val="minMax"/>
        </c:scaling>
        <c:delete val="1"/>
        <c:axPos val="b"/>
        <c:numFmt formatCode="_-[$$-409]* #,##0_ ;_-[$$-409]* \-#,##0\ ;_-[$$-409]* &quot;-&quot;??_ ;_-@_ " sourceLinked="1"/>
        <c:majorTickMark val="none"/>
        <c:minorTickMark val="none"/>
        <c:tickLblPos val="nextTo"/>
        <c:crossAx val="22609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of ProductLine</cx:v>
        </cx:txData>
      </cx:tx>
      <cx:txPr>
        <a:bodyPr vertOverflow="overflow" horzOverflow="overflow" wrap="square" lIns="0" tIns="0" rIns="0" bIns="0"/>
        <a:lstStyle/>
        <a:p>
          <a:pPr algn="ctr" rtl="0">
            <a:defRPr lang="en-US" sz="1000" b="0" i="0" u="none" strike="noStrike" kern="1200" baseline="0">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r>
            <a:rPr lang="en-US" sz="1000" b="1" i="0" u="none" strike="noStrike" kern="1200" baseline="0">
              <a:solidFill>
                <a:schemeClr val="tx1"/>
              </a:solidFill>
              <a:latin typeface="Arial Black" panose="020B0A04020102020204" pitchFamily="34" charset="0"/>
              <a:ea typeface="+mn-ea"/>
              <a:cs typeface="+mn-cs"/>
            </a:rPr>
            <a:t>Sales of ProductLine</a:t>
          </a:r>
        </a:p>
      </cx:txPr>
    </cx:title>
    <cx:plotArea>
      <cx:plotAreaRegion>
        <cx:plotSurface>
          <cx:spPr>
            <a:ln>
              <a:noFill/>
            </a:ln>
          </cx:spPr>
        </cx:plotSurface>
        <cx:series layoutId="funnel" uniqueId="{A16228C9-2777-4F90-9400-DECB53C325F4}">
          <cx:spPr>
            <a:gradFill>
              <a:gsLst>
                <a:gs pos="14000">
                  <a:srgbClr val="002060"/>
                </a:gs>
                <a:gs pos="100000">
                  <a:srgbClr val="00B0F0"/>
                </a:gs>
                <a:gs pos="10000">
                  <a:srgbClr val="92D050"/>
                </a:gs>
              </a:gsLst>
              <a:lin ang="5400000" scaled="1"/>
            </a:gradFill>
          </cx:spPr>
          <cx:dataLabels>
            <cx:txPr>
              <a:bodyPr vertOverflow="overflow" horzOverflow="overflow" wrap="square" lIns="0" tIns="0" rIns="0" bIns="0"/>
              <a:lstStyle/>
              <a:p>
                <a:pPr algn="ctr" rtl="0">
                  <a:defRPr lang="en-US" sz="1000" b="1" i="0" u="none" strike="noStrike" kern="1200" baseline="0">
                    <a:solidFill>
                      <a:schemeClr val="bg1"/>
                    </a:solidFill>
                    <a:latin typeface="+mn-lt"/>
                    <a:ea typeface="+mn-ea"/>
                    <a:cs typeface="+mn-cs"/>
                  </a:defRPr>
                </a:pPr>
                <a:endParaRPr lang="en-US" sz="1000" b="1" i="0" u="none" strike="noStrike" kern="1200" baseline="0">
                  <a:solidFill>
                    <a:schemeClr val="bg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1" i="0" u="none" strike="noStrike" kern="1200" baseline="0">
                <a:solidFill>
                  <a:schemeClr val="tx1"/>
                </a:solidFill>
                <a:latin typeface="+mn-lt"/>
                <a:ea typeface="+mn-ea"/>
                <a:cs typeface="+mn-cs"/>
              </a:defRPr>
            </a:pPr>
            <a:endParaRPr lang="en-US" sz="1000" b="1" i="0" u="none" strike="noStrike" kern="1200" baseline="0">
              <a:solidFill>
                <a:schemeClr val="tx1"/>
              </a:solidFill>
              <a:latin typeface="+mn-lt"/>
              <a:ea typeface="+mn-ea"/>
              <a:cs typeface="+mn-cs"/>
            </a:endParaRPr>
          </a:p>
        </cx:txPr>
      </cx:axis>
    </cx:plotArea>
  </cx:chart>
  <cx:spPr>
    <a:ln cap="rnd">
      <a:solidFill>
        <a:schemeClr val="accent1">
          <a:shade val="15000"/>
          <a:alpha val="92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598714</xdr:colOff>
      <xdr:row>5</xdr:row>
      <xdr:rowOff>32657</xdr:rowOff>
    </xdr:to>
    <xdr:sp macro="" textlink="">
      <xdr:nvSpPr>
        <xdr:cNvPr id="2" name="Rectangle 1">
          <a:extLst>
            <a:ext uri="{FF2B5EF4-FFF2-40B4-BE49-F238E27FC236}">
              <a16:creationId xmlns:a16="http://schemas.microsoft.com/office/drawing/2014/main" id="{688CF48C-4692-FE36-7321-E7B6A5FDD45D}"/>
            </a:ext>
          </a:extLst>
        </xdr:cNvPr>
        <xdr:cNvSpPr/>
      </xdr:nvSpPr>
      <xdr:spPr>
        <a:xfrm>
          <a:off x="0" y="0"/>
          <a:ext cx="2427514" cy="957943"/>
        </a:xfrm>
        <a:prstGeom prst="rect">
          <a:avLst/>
        </a:prstGeom>
        <a:solidFill>
          <a:schemeClr val="accent6">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TOTAL SALES</a:t>
          </a:r>
        </a:p>
      </xdr:txBody>
    </xdr:sp>
    <xdr:clientData/>
  </xdr:twoCellAnchor>
  <xdr:twoCellAnchor>
    <xdr:from>
      <xdr:col>0</xdr:col>
      <xdr:colOff>0</xdr:colOff>
      <xdr:row>5</xdr:row>
      <xdr:rowOff>32657</xdr:rowOff>
    </xdr:from>
    <xdr:to>
      <xdr:col>3</xdr:col>
      <xdr:colOff>598714</xdr:colOff>
      <xdr:row>10</xdr:row>
      <xdr:rowOff>65315</xdr:rowOff>
    </xdr:to>
    <xdr:sp macro="" textlink="">
      <xdr:nvSpPr>
        <xdr:cNvPr id="3" name="Rectangle 2">
          <a:extLst>
            <a:ext uri="{FF2B5EF4-FFF2-40B4-BE49-F238E27FC236}">
              <a16:creationId xmlns:a16="http://schemas.microsoft.com/office/drawing/2014/main" id="{DD07886A-37D5-4C6F-BC2B-1B06B91DB77F}"/>
            </a:ext>
          </a:extLst>
        </xdr:cNvPr>
        <xdr:cNvSpPr/>
      </xdr:nvSpPr>
      <xdr:spPr>
        <a:xfrm>
          <a:off x="0" y="957943"/>
          <a:ext cx="2427514" cy="957943"/>
        </a:xfrm>
        <a:prstGeom prst="rect">
          <a:avLst/>
        </a:prstGeom>
        <a:solidFill>
          <a:srgbClr val="09FFE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 QUANTITY</a:t>
          </a:r>
        </a:p>
      </xdr:txBody>
    </xdr:sp>
    <xdr:clientData/>
  </xdr:twoCellAnchor>
  <xdr:twoCellAnchor>
    <xdr:from>
      <xdr:col>0</xdr:col>
      <xdr:colOff>0</xdr:colOff>
      <xdr:row>10</xdr:row>
      <xdr:rowOff>65316</xdr:rowOff>
    </xdr:from>
    <xdr:to>
      <xdr:col>3</xdr:col>
      <xdr:colOff>598714</xdr:colOff>
      <xdr:row>23</xdr:row>
      <xdr:rowOff>43543</xdr:rowOff>
    </xdr:to>
    <xdr:sp macro="" textlink="">
      <xdr:nvSpPr>
        <xdr:cNvPr id="4" name="Rectangle 3">
          <a:extLst>
            <a:ext uri="{FF2B5EF4-FFF2-40B4-BE49-F238E27FC236}">
              <a16:creationId xmlns:a16="http://schemas.microsoft.com/office/drawing/2014/main" id="{C92B3D3F-B929-4521-B55D-4C424963A8B4}"/>
            </a:ext>
          </a:extLst>
        </xdr:cNvPr>
        <xdr:cNvSpPr/>
      </xdr:nvSpPr>
      <xdr:spPr>
        <a:xfrm>
          <a:off x="0" y="1915887"/>
          <a:ext cx="2427514" cy="238397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10885</xdr:colOff>
      <xdr:row>23</xdr:row>
      <xdr:rowOff>54429</xdr:rowOff>
    </xdr:from>
    <xdr:to>
      <xdr:col>3</xdr:col>
      <xdr:colOff>609599</xdr:colOff>
      <xdr:row>34</xdr:row>
      <xdr:rowOff>174170</xdr:rowOff>
    </xdr:to>
    <xdr:sp macro="" textlink="">
      <xdr:nvSpPr>
        <xdr:cNvPr id="5" name="Rectangle 4">
          <a:extLst>
            <a:ext uri="{FF2B5EF4-FFF2-40B4-BE49-F238E27FC236}">
              <a16:creationId xmlns:a16="http://schemas.microsoft.com/office/drawing/2014/main" id="{A27D8154-4DF6-43F3-B911-50596535C7D1}"/>
            </a:ext>
          </a:extLst>
        </xdr:cNvPr>
        <xdr:cNvSpPr/>
      </xdr:nvSpPr>
      <xdr:spPr>
        <a:xfrm>
          <a:off x="10885" y="4310743"/>
          <a:ext cx="2427514" cy="215537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555171</xdr:colOff>
      <xdr:row>0</xdr:row>
      <xdr:rowOff>0</xdr:rowOff>
    </xdr:from>
    <xdr:to>
      <xdr:col>28</xdr:col>
      <xdr:colOff>576942</xdr:colOff>
      <xdr:row>34</xdr:row>
      <xdr:rowOff>163286</xdr:rowOff>
    </xdr:to>
    <xdr:sp macro="" textlink="">
      <xdr:nvSpPr>
        <xdr:cNvPr id="6" name="Rectangle 5">
          <a:extLst>
            <a:ext uri="{FF2B5EF4-FFF2-40B4-BE49-F238E27FC236}">
              <a16:creationId xmlns:a16="http://schemas.microsoft.com/office/drawing/2014/main" id="{A8646E05-0081-6D5F-F97E-9DBE54B09601}"/>
            </a:ext>
          </a:extLst>
        </xdr:cNvPr>
        <xdr:cNvSpPr/>
      </xdr:nvSpPr>
      <xdr:spPr>
        <a:xfrm>
          <a:off x="2383971" y="0"/>
          <a:ext cx="15261771" cy="64552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xdr:colOff>
      <xdr:row>0</xdr:row>
      <xdr:rowOff>0</xdr:rowOff>
    </xdr:from>
    <xdr:to>
      <xdr:col>12</xdr:col>
      <xdr:colOff>598714</xdr:colOff>
      <xdr:row>16</xdr:row>
      <xdr:rowOff>114300</xdr:rowOff>
    </xdr:to>
    <xdr:graphicFrame macro="">
      <xdr:nvGraphicFramePr>
        <xdr:cNvPr id="7" name="Chart 6">
          <a:extLst>
            <a:ext uri="{FF2B5EF4-FFF2-40B4-BE49-F238E27FC236}">
              <a16:creationId xmlns:a16="http://schemas.microsoft.com/office/drawing/2014/main" id="{E15ECB5E-DD0E-40D2-A57F-326D053C6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45492</xdr:colOff>
      <xdr:row>16</xdr:row>
      <xdr:rowOff>159225</xdr:rowOff>
    </xdr:from>
    <xdr:to>
      <xdr:col>12</xdr:col>
      <xdr:colOff>568657</xdr:colOff>
      <xdr:row>34</xdr:row>
      <xdr:rowOff>90985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720BD97-2B92-4C5C-AB3E-934466F75F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83892" y="3085305"/>
              <a:ext cx="5399965" cy="322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603885</xdr:colOff>
      <xdr:row>0</xdr:row>
      <xdr:rowOff>0</xdr:rowOff>
    </xdr:from>
    <xdr:to>
      <xdr:col>28</xdr:col>
      <xdr:colOff>474890</xdr:colOff>
      <xdr:row>16</xdr:row>
      <xdr:rowOff>123826</xdr:rowOff>
    </xdr:to>
    <xdr:graphicFrame macro="">
      <xdr:nvGraphicFramePr>
        <xdr:cNvPr id="9" name="Chart 8">
          <a:extLst>
            <a:ext uri="{FF2B5EF4-FFF2-40B4-BE49-F238E27FC236}">
              <a16:creationId xmlns:a16="http://schemas.microsoft.com/office/drawing/2014/main" id="{A4F217DB-7B8D-412B-BA31-4D3CECE93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118382</xdr:colOff>
      <xdr:row>0</xdr:row>
      <xdr:rowOff>10886</xdr:rowOff>
    </xdr:from>
    <xdr:to>
      <xdr:col>20</xdr:col>
      <xdr:colOff>432179</xdr:colOff>
      <xdr:row>16</xdr:row>
      <xdr:rowOff>136478</xdr:rowOff>
    </xdr:to>
    <xdr:graphicFrame macro="">
      <xdr:nvGraphicFramePr>
        <xdr:cNvPr id="10" name="Chart 9">
          <a:extLst>
            <a:ext uri="{FF2B5EF4-FFF2-40B4-BE49-F238E27FC236}">
              <a16:creationId xmlns:a16="http://schemas.microsoft.com/office/drawing/2014/main" id="{B8F79133-8708-45E2-9091-C8A0C693D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170597</xdr:colOff>
      <xdr:row>17</xdr:row>
      <xdr:rowOff>4954</xdr:rowOff>
    </xdr:from>
    <xdr:to>
      <xdr:col>20</xdr:col>
      <xdr:colOff>443552</xdr:colOff>
      <xdr:row>34</xdr:row>
      <xdr:rowOff>109728</xdr:rowOff>
    </xdr:to>
    <xdr:graphicFrame macro="">
      <xdr:nvGraphicFramePr>
        <xdr:cNvPr id="11" name="Chart 10">
          <a:extLst>
            <a:ext uri="{FF2B5EF4-FFF2-40B4-BE49-F238E27FC236}">
              <a16:creationId xmlns:a16="http://schemas.microsoft.com/office/drawing/2014/main" id="{5484567A-BD88-4937-BA20-6920F1C6C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591402</xdr:colOff>
      <xdr:row>16</xdr:row>
      <xdr:rowOff>165054</xdr:rowOff>
    </xdr:from>
    <xdr:to>
      <xdr:col>28</xdr:col>
      <xdr:colOff>477996</xdr:colOff>
      <xdr:row>34</xdr:row>
      <xdr:rowOff>118338</xdr:rowOff>
    </xdr:to>
    <xdr:graphicFrame macro="">
      <xdr:nvGraphicFramePr>
        <xdr:cNvPr id="12" name="Chart 11">
          <a:extLst>
            <a:ext uri="{FF2B5EF4-FFF2-40B4-BE49-F238E27FC236}">
              <a16:creationId xmlns:a16="http://schemas.microsoft.com/office/drawing/2014/main" id="{B1373FE3-9FAC-475C-A008-3F3E4FFCD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250371</xdr:colOff>
      <xdr:row>2</xdr:row>
      <xdr:rowOff>174172</xdr:rowOff>
    </xdr:from>
    <xdr:to>
      <xdr:col>3</xdr:col>
      <xdr:colOff>359229</xdr:colOff>
      <xdr:row>5</xdr:row>
      <xdr:rowOff>0</xdr:rowOff>
    </xdr:to>
    <xdr:sp macro="" textlink="Sheet2!C24">
      <xdr:nvSpPr>
        <xdr:cNvPr id="13" name="Rectangle: Rounded Corners 12">
          <a:extLst>
            <a:ext uri="{FF2B5EF4-FFF2-40B4-BE49-F238E27FC236}">
              <a16:creationId xmlns:a16="http://schemas.microsoft.com/office/drawing/2014/main" id="{1061C94E-32A1-650E-918D-9BAE1BF1D98B}"/>
            </a:ext>
          </a:extLst>
        </xdr:cNvPr>
        <xdr:cNvSpPr/>
      </xdr:nvSpPr>
      <xdr:spPr>
        <a:xfrm>
          <a:off x="250371" y="544286"/>
          <a:ext cx="1937658"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57FE70-2B9C-4666-9BA0-012888BD8FF7}" type="TxLink">
            <a:rPr lang="en-US" sz="2400" b="1" i="0" u="none" strike="noStrike">
              <a:solidFill>
                <a:srgbClr val="000000"/>
              </a:solidFill>
              <a:latin typeface="Bodoni MT Black" panose="02070A03080606020203" pitchFamily="18" charset="0"/>
              <a:ea typeface="Calibri"/>
              <a:cs typeface="Calibri"/>
            </a:rPr>
            <a:pPr algn="ctr"/>
            <a:t> $2,41,715 </a:t>
          </a:fld>
          <a:endParaRPr lang="en-IN" sz="2400" b="1">
            <a:latin typeface="Bodoni MT Black" panose="02070A03080606020203" pitchFamily="18" charset="0"/>
          </a:endParaRPr>
        </a:p>
      </xdr:txBody>
    </xdr:sp>
    <xdr:clientData/>
  </xdr:twoCellAnchor>
  <xdr:twoCellAnchor>
    <xdr:from>
      <xdr:col>0</xdr:col>
      <xdr:colOff>228600</xdr:colOff>
      <xdr:row>7</xdr:row>
      <xdr:rowOff>152400</xdr:rowOff>
    </xdr:from>
    <xdr:to>
      <xdr:col>3</xdr:col>
      <xdr:colOff>337458</xdr:colOff>
      <xdr:row>10</xdr:row>
      <xdr:rowOff>43544</xdr:rowOff>
    </xdr:to>
    <xdr:sp macro="" textlink="Sheet2!D24">
      <xdr:nvSpPr>
        <xdr:cNvPr id="14" name="Rectangle: Rounded Corners 13">
          <a:extLst>
            <a:ext uri="{FF2B5EF4-FFF2-40B4-BE49-F238E27FC236}">
              <a16:creationId xmlns:a16="http://schemas.microsoft.com/office/drawing/2014/main" id="{F392D410-45E9-4AF5-86E2-8D5605843C97}"/>
            </a:ext>
          </a:extLst>
        </xdr:cNvPr>
        <xdr:cNvSpPr/>
      </xdr:nvSpPr>
      <xdr:spPr>
        <a:xfrm>
          <a:off x="228600" y="1447800"/>
          <a:ext cx="1937658" cy="4463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632A2C-E1B4-486E-9D98-0B596A916721}" type="TxLink">
            <a:rPr lang="en-US" sz="2800" b="1" i="0" u="none" strike="noStrike">
              <a:solidFill>
                <a:srgbClr val="000000"/>
              </a:solidFill>
              <a:latin typeface="Bauhaus 93" panose="04030905020B02020C02" pitchFamily="82" charset="0"/>
              <a:ea typeface="Calibri"/>
              <a:cs typeface="Calibri"/>
            </a:rPr>
            <a:pPr algn="ctr"/>
            <a:t>2600</a:t>
          </a:fld>
          <a:endParaRPr lang="en-IN" sz="2800" b="1">
            <a:latin typeface="Bauhaus 93" panose="04030905020B02020C02" pitchFamily="82" charset="0"/>
          </a:endParaRPr>
        </a:p>
      </xdr:txBody>
    </xdr:sp>
    <xdr:clientData/>
  </xdr:twoCellAnchor>
  <xdr:twoCellAnchor editAs="oneCell">
    <xdr:from>
      <xdr:col>0</xdr:col>
      <xdr:colOff>0</xdr:colOff>
      <xdr:row>16</xdr:row>
      <xdr:rowOff>145142</xdr:rowOff>
    </xdr:from>
    <xdr:to>
      <xdr:col>3</xdr:col>
      <xdr:colOff>500742</xdr:colOff>
      <xdr:row>22</xdr:row>
      <xdr:rowOff>184572</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68E68621-3419-4514-A626-41A87524629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3056664"/>
              <a:ext cx="2343190" cy="1131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54430</xdr:rowOff>
    </xdr:from>
    <xdr:to>
      <xdr:col>3</xdr:col>
      <xdr:colOff>533400</xdr:colOff>
      <xdr:row>16</xdr:row>
      <xdr:rowOff>157963</xdr:rowOff>
    </xdr:to>
    <mc:AlternateContent xmlns:mc="http://schemas.openxmlformats.org/markup-compatibility/2006" xmlns:a14="http://schemas.microsoft.com/office/drawing/2010/main">
      <mc:Choice Requires="a14">
        <xdr:graphicFrame macro="">
          <xdr:nvGraphicFramePr>
            <xdr:cNvPr id="16" name="status 1">
              <a:extLst>
                <a:ext uri="{FF2B5EF4-FFF2-40B4-BE49-F238E27FC236}">
                  <a16:creationId xmlns:a16="http://schemas.microsoft.com/office/drawing/2014/main" id="{42F329FB-10AB-4AB8-B304-DD816ACB862E}"/>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1874131"/>
              <a:ext cx="2375848" cy="119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24</xdr:row>
      <xdr:rowOff>-1</xdr:rowOff>
    </xdr:from>
    <xdr:to>
      <xdr:col>3</xdr:col>
      <xdr:colOff>522514</xdr:colOff>
      <xdr:row>34</xdr:row>
      <xdr:rowOff>174169</xdr:rowOff>
    </xdr:to>
    <mc:AlternateContent xmlns:mc="http://schemas.openxmlformats.org/markup-compatibility/2006" xmlns:a14="http://schemas.microsoft.com/office/drawing/2010/main">
      <mc:Choice Requires="a14">
        <xdr:graphicFrame macro="">
          <xdr:nvGraphicFramePr>
            <xdr:cNvPr id="17" name="months 1">
              <a:extLst>
                <a:ext uri="{FF2B5EF4-FFF2-40B4-BE49-F238E27FC236}">
                  <a16:creationId xmlns:a16="http://schemas.microsoft.com/office/drawing/2014/main" id="{5A2EB7BB-0BD6-49F7-A472-E728D281F58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43543" y="4239741"/>
              <a:ext cx="2321419" cy="2121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ani Chawla" refreshedDate="46056.657451388892" createdVersion="8" refreshedVersion="8" minRefreshableVersion="3" recordCount="122" xr:uid="{F312EE25-2BF2-4E48-93FC-2637C2D47589}">
  <cacheSource type="worksheet">
    <worksheetSource ref="A1:V123" sheet="Sheet1"/>
  </cacheSource>
  <cacheFields count="22">
    <cacheField name="customerNumber" numFmtId="0">
      <sharedItems containsSemiMixedTypes="0" containsString="0" containsNumber="1" containsInteger="1" minValue="103" maxValue="496"/>
    </cacheField>
    <cacheField name="customerName" numFmtId="0">
      <sharedItems containsMixedTypes="1" containsNumber="1" containsInteger="1" minValue="0" maxValue="0" count="122">
        <s v="Atelier graphique"/>
        <s v="Signal Gift Stores"/>
        <s v="Australian Collectors, Co."/>
        <s v="La Rochelle Gifts"/>
        <s v="Baane Mini Imports"/>
        <s v="Mini Gifts Distributors Ltd."/>
        <s v="Havel &amp; Zbyszek Co"/>
        <s v="Blauer See Auto, Co."/>
        <s v="Mini Wheels Co."/>
        <s v="Land of Toys Inc."/>
        <s v="Euro+ Shopping Channel"/>
        <s v="Volvo Model Replicas, Co"/>
        <s v="Danish Wholesale Imports"/>
        <s v="Saveley &amp; Henriot, Co."/>
        <s v="Dragon Souveniers, Ltd."/>
        <s v="Muscle Machine Inc"/>
        <n v="0"/>
        <s v="Technics Stores Inc."/>
        <s v="Handji Gifts&amp; Co"/>
        <s v="Herkku Gifts"/>
        <s v="American Souvenirs Inc"/>
        <s v="Porto Imports Co."/>
        <s v="Daedalus Designs Imports"/>
        <s v="La Corne D'abondance, Co."/>
        <s v="Cambridge Collectables Co."/>
        <s v="Gift Depot Inc."/>
        <s v="Osaka Souveniers Co."/>
        <s v="Vitachrome Inc."/>
        <s v="Toys of Finland, Co."/>
        <s v="AV Stores, Co."/>
        <s v="Clover Collections, Co."/>
        <s v="Auto-Moto Classics Inc."/>
        <s v="UK Collectables, Ltd."/>
        <s v="Canadian Gift Exchange Network"/>
        <s v="Online Mini Collectables"/>
        <s v="Toys4GrownUps.com"/>
        <s v="Asian Shopping Network, Co"/>
        <s v="Mini Caravy"/>
        <s v="King Kong Collectables, Co."/>
        <s v="Enaco Distributors"/>
        <s v="Boards &amp; Toys Co."/>
        <s v="NatÃ¼rlich Autos"/>
        <s v="Heintze Collectables"/>
        <s v="QuÃ©bec Home Shopping Network"/>
        <s v="ANG Resellers"/>
        <s v="Collectable Mini Designs Co."/>
        <s v="giftsbymail.co.uk"/>
        <s v="Alpha Cognac"/>
        <s v="Messner Shopping Network"/>
        <s v="Amica Models &amp; Co."/>
        <s v="Lyon Souveniers"/>
        <s v="Auto AssociÃ©s &amp; Cie."/>
        <s v="Toms SpezialitÃ¤ten, Ltd"/>
        <s v="Royal Canadian Collectables, Ltd."/>
        <s v="Franken Gifts, Co"/>
        <s v="Anna's Decorations, Ltd"/>
        <s v="Rovelli Gifts"/>
        <s v="Souveniers And Things Co."/>
        <s v="Marta's Replicas Co."/>
        <s v="BG&amp;E Collectables"/>
        <s v="Vida Sport, Ltd"/>
        <s v="Norway Gifts By Mail, Co."/>
        <s v="Schuyler Imports"/>
        <s v="Der Hund Imports"/>
        <s v="Oulu Toy Supplies, Inc."/>
        <s v="Petit Auto"/>
        <s v="Mini Classics"/>
        <s v="Mini Creations Ltd."/>
        <s v="Corporate Gift Ideas Co."/>
        <s v="Down Under Souveniers, Inc"/>
        <s v="Stylish Desk Decors, Co."/>
        <s v="Tekni Collectables Inc."/>
        <s v="Australian Gift Network, Co"/>
        <s v="Suominen Souveniers"/>
        <s v="Cramer SpezialitÃ¤ten, Ltd"/>
        <s v="Classic Gift Ideas, Inc"/>
        <s v="CAF Imports"/>
        <s v="Men 'R' US Retailers, Ltd."/>
        <s v="Asian Treasures, Inc."/>
        <s v="Marseille Mini Autos"/>
        <s v="Reims Collectables"/>
        <s v="SAR Distributors, Co"/>
        <s v="GiftsForHim.com"/>
        <s v="Kommission Auto"/>
        <s v="Gifts4AllAges.com"/>
        <s v="Online Diecast Creations Co."/>
        <s v="Lisboa Souveniers, Inc"/>
        <s v="Precious Collectables"/>
        <s v="Collectables For Less Inc."/>
        <s v="Royale Belge"/>
        <s v="Salzburg Collectables"/>
        <s v="Cruz &amp; Sons Co."/>
        <s v="L'ordine Souveniers"/>
        <s v="Tokyo Collectables, Ltd"/>
        <s v="Auto Canal+ Petit"/>
        <s v="Stuttgart Collectable Exchange"/>
        <s v="Extreme Desk Decorations, Ltd"/>
        <s v="Bavarian Collectables Imports, Co."/>
        <s v="Classic Legends Inc."/>
        <s v="Feuer Online Stores, Inc"/>
        <s v="Gift Ideas Corp."/>
        <s v="Scandinavian Gift Ideas"/>
        <s v="The Sharp Gifts Warehouse"/>
        <s v="Mini Auto Werke"/>
        <s v="Super Scale Inc."/>
        <s v="Microscale Inc."/>
        <s v="Corrida Auto Replicas, Ltd"/>
        <s v="Warburg Exchange"/>
        <s v="FunGiftIdeas.com"/>
        <s v="Anton Designs, Ltd."/>
        <s v="Australian Collectables, Ltd"/>
        <s v="Frau da Collezione"/>
        <s v="West Coast Collectables Co."/>
        <s v="Mit VergnÃ¼gen &amp; Co."/>
        <s v="Kremlin Collectables, Co."/>
        <s v="Raanan Stores, Inc"/>
        <s v="Iberia Gift Imports, Corp."/>
        <s v="Motor Mint Distributors Inc."/>
        <s v="Signal Collectibles Ltd."/>
        <s v="Double Decker Gift Stores, Ltd"/>
        <s v="Diecast Collectables"/>
        <s v="Kelly's Gift Shop"/>
      </sharedItems>
    </cacheField>
    <cacheField name="country" numFmtId="0">
      <sharedItems count="28">
        <s v="France"/>
        <s v="USA"/>
        <s v="Australia"/>
        <s v="Norway"/>
        <s v="Poland"/>
        <s v="Germany"/>
        <s v="Spain"/>
        <s v="Sweden"/>
        <s v="Denmark"/>
        <s v="Singapore"/>
        <s v="Norway  "/>
        <s v="Portugal"/>
        <s v="Japan"/>
        <s v="Finland"/>
        <s v="UK"/>
        <s v="Ireland"/>
        <s v="Canada"/>
        <s v="Hong Kong"/>
        <s v="Italy"/>
        <s v="Switzerland"/>
        <s v="Netherlands"/>
        <s v="Belgium"/>
        <s v="New Zealand"/>
        <s v="South Africa"/>
        <s v="Austria"/>
        <s v="Philippines"/>
        <s v="Russia"/>
        <s v="Israel"/>
      </sharedItems>
    </cacheField>
    <cacheField name="salesRepEmployeeNumber" numFmtId="0">
      <sharedItems containsSemiMixedTypes="0" containsString="0" containsNumber="1" containsInteger="1" minValue="1165" maxValue="1890"/>
    </cacheField>
    <cacheField name="employeeNumber" numFmtId="0">
      <sharedItems containsSemiMixedTypes="0" containsString="0" containsNumber="1" containsInteger="1" minValue="1002" maxValue="1789"/>
    </cacheField>
    <cacheField name="orderNumber" numFmtId="0">
      <sharedItems containsSemiMixedTypes="0" containsString="0" containsNumber="1" containsInteger="1" minValue="10100" maxValue="10111"/>
    </cacheField>
    <cacheField name="productCode" numFmtId="0">
      <sharedItems/>
    </cacheField>
    <cacheField name="quantityOrdered" numFmtId="0">
      <sharedItems containsSemiMixedTypes="0" containsString="0" containsNumber="1" containsInteger="1" minValue="20" maxValue="50"/>
    </cacheField>
    <cacheField name="priceEach" numFmtId="0">
      <sharedItems containsSemiMixedTypes="0" containsString="0" containsNumber="1" minValue="28.88" maxValue="214.3"/>
    </cacheField>
    <cacheField name="amount" numFmtId="164">
      <sharedItems containsSemiMixedTypes="0" containsString="0" containsNumber="1" minValue="577.6" maxValue="8434.52"/>
    </cacheField>
    <cacheField name="orderDate" numFmtId="14">
      <sharedItems containsSemiMixedTypes="0" containsNonDate="0" containsDate="1" containsString="0" minDate="2003-01-06T00:00:00" maxDate="2004-02-19T00:00:00"/>
    </cacheField>
    <cacheField name="months" numFmtId="14">
      <sharedItems count="12">
        <s v="January"/>
        <s v="February"/>
        <s v="March"/>
        <s v="April"/>
        <s v="May"/>
        <s v="June"/>
        <s v="July"/>
        <s v="August"/>
        <s v="September"/>
        <s v="October"/>
        <s v="November"/>
        <s v="December"/>
      </sharedItems>
    </cacheField>
    <cacheField name="status" numFmtId="0">
      <sharedItems count="3">
        <s v="Shipped"/>
        <s v="Resolved"/>
        <s v="Cancelled"/>
      </sharedItems>
    </cacheField>
    <cacheField name="paymentDate" numFmtId="14">
      <sharedItems containsSemiMixedTypes="0" containsNonDate="0" containsDate="1" containsString="0" minDate="2003-01-28T00:00:00" maxDate="2005-05-20T00:00:00"/>
    </cacheField>
    <cacheField name="productCode2" numFmtId="0">
      <sharedItems/>
    </cacheField>
    <cacheField name="productName" numFmtId="0">
      <sharedItems count="110">
        <s v="1969 Harley Davidson Ultimate Chopper"/>
        <s v="1952 Alpine Renault 1300"/>
        <s v="1996 Moto Guzzi 1100i"/>
        <s v="2003 Harley-Davidson Eagle Drag Bike"/>
        <s v="1972 Alfa Romeo GTA"/>
        <s v="1962 LanciaA Delta 16V"/>
        <s v="1968 Ford Mustang"/>
        <s v="2001 Ferrari Enzo"/>
        <s v="1958 Setra Bus"/>
        <s v="2002 Suzuki XREO"/>
        <s v="1969 Corvair Monza"/>
        <s v="1968 Dodge Charger"/>
        <s v="1969 Ford Falcon"/>
        <s v="1970 Plymouth Hemi Cuda"/>
        <s v="1957 Chevy Pickup"/>
        <s v="1969 Dodge Charger"/>
        <s v="1940 Ford Pickup Truck"/>
        <s v="1993 Mazda RX-7"/>
        <s v="1937 Lincoln Berline"/>
        <s v="1936 Mercedes-Benz 500K Special Roadster"/>
        <s v="1965 Aston Martin DB5"/>
        <s v="1980s Black Hawk Helicopter"/>
        <s v="1917 Grand Touring Sedan"/>
        <s v="1948 Porsche 356-A Roadster"/>
        <s v="1995 Honda Civic"/>
        <s v="1998 Chrysler Plymouth Prowler"/>
        <s v="1911 Ford Town Car"/>
        <s v="1964 Mercedes Tour Bus"/>
        <s v="1932 Model A Ford J-Coupe"/>
        <s v="1926 Ford Fire Engine"/>
        <s v="P-51-D Mustang"/>
        <s v="1936 Harley Davidson El Knucklehead"/>
        <s v="1928 Mercedes-Benz SSK"/>
        <s v="1999 Indy 500 Monte Carlo SS"/>
        <s v="1913 Ford Model T Speedster"/>
        <s v="1934 Ford V8 Coupe"/>
        <s v="1999 Yamaha Speed Boat"/>
        <s v="18th Century Vintage Horse Carriage"/>
        <s v="1903 Ford Model A"/>
        <s v="1992 Ferrari 360 Spider red"/>
        <s v="1985 Toyota Supra"/>
        <s v="Collectable Wooden Train"/>
        <s v="1969 Dodge Super Bee"/>
        <s v="1917 Maxwell Touring Car"/>
        <s v="1976 Ford Gran Torino"/>
        <s v="1948 Porsche Type 356 Roadster"/>
        <s v="1957 Vespa GS150"/>
        <s v="1941 Chevrolet Special Deluxe Cabriolet"/>
        <s v="1970 Triumph Spitfire"/>
        <s v="1932 Alfa Romeo 8C2300 Spider Sport"/>
        <s v="1904 Buick Runabout"/>
        <s v="1940s Ford truck"/>
        <s v="1939 Cadillac Limousine"/>
        <s v="1957 Corvette Convertible"/>
        <s v="1957 Ford Thunderbird"/>
        <s v="1970 Chevy Chevelle SS 454"/>
        <s v="1970 Dodge Coronet"/>
        <s v="1997 BMW R 1100 S"/>
        <s v="1966 Shelby Cobra 427 S/C"/>
        <s v="1928 British Royal Navy Airplane"/>
        <s v="1939 Chevrolet Deluxe Coupe"/>
        <s v="1960 BSA Gold Star DBD34"/>
        <s v="18th century schooner"/>
        <s v="1938 Cadillac V-16 Presidential Limousine"/>
        <s v="1962 Volkswagen Microbus"/>
        <s v="1982 Ducati 900 Monster"/>
        <s v="1949 Jaguar XK 120"/>
        <s v="1958 Chevy Corvette Limited Edition"/>
        <s v="1900s Vintage Bi-Plane"/>
        <s v="1952 Citroen-15CV"/>
        <s v="1982 Lamborghini Diablo"/>
        <s v="1912 Ford Model T Delivery Wagon"/>
        <s v="1969 Chevrolet Camaro Z28"/>
        <s v="1971 Alpine Renault 1600s"/>
        <s v="1937 Horch 930V Limousine"/>
        <s v="2002 Chevy Corvette"/>
        <s v="1940 Ford Delivery Sedan"/>
        <s v="1956 Porsche 356A Coupe"/>
        <s v="Corsair F4U ( Bird Cage)"/>
        <s v="1936 Mercedes Benz 500k Roadster"/>
        <s v="1992 Porsche Cayenne Turbo Silver"/>
        <s v="1936 Chrysler Airflow"/>
        <s v="1900s Vintage Tri-Plane"/>
        <s v="1961 Chevrolet Impala"/>
        <s v="1980â€™s GM Manhattan Express"/>
        <s v="1997 BMW F650 ST"/>
        <s v="1982 Ducati 996 R"/>
        <s v="1954 Greyhound Scenicruiser"/>
        <s v="1950's Chicago Surface Lines Streetcar"/>
        <s v="1996 Peterbilt 379 Stake Bed with Outrigger"/>
        <s v="1928 Ford Phaeton Deluxe"/>
        <s v="1974 Ducati 350 Mk3 Desmo"/>
        <s v="1930 Buick Marquette Phaeton"/>
        <s v="Diamond T620 Semi-Skirted Tanker"/>
        <s v="1962 City of Detroit Streetcar"/>
        <s v="2002 Yamaha YZR M1"/>
        <s v="The Schooner Bluenose"/>
        <s v="American Airlines: B767-300"/>
        <s v="The Mayflower"/>
        <s v="HMS Bounty"/>
        <s v="America West Airlines B757-200"/>
        <s v="The USS Constitution Ship"/>
        <s v="1982 Camaro Z28"/>
        <s v="ATA: B757-300"/>
        <s v="F/A 18 Hornet 1/72"/>
        <s v="The Titanic"/>
        <s v="The Queen Mary"/>
        <s v="American Airlines: MD-11S"/>
        <s v="Boeing X-32A JSF"/>
        <s v="Pont Yacht"/>
      </sharedItems>
    </cacheField>
    <cacheField name="productLine" numFmtId="0">
      <sharedItems count="8">
        <s v="Motorcycles"/>
        <s v="Classic Cars"/>
        <s v="Trucks and Buses"/>
        <s v="Vintage Cars"/>
        <s v="Planes"/>
        <s v="Ships"/>
        <s v="Trains"/>
        <s v="palne"/>
      </sharedItems>
    </cacheField>
    <cacheField name="quantityInStock" numFmtId="0">
      <sharedItems containsSemiMixedTypes="0" containsString="0" containsNumber="1" containsInteger="1" minValue="15" maxValue="9997"/>
    </cacheField>
    <cacheField name="buyPrice" numFmtId="0">
      <sharedItems containsSemiMixedTypes="0" containsString="0" containsNumber="1" minValue="15.91" maxValue="103.42"/>
    </cacheField>
    <cacheField name="MSRP" numFmtId="0">
      <sharedItems containsSemiMixedTypes="0" containsString="0" containsNumber="1" minValue="33.19" maxValue="214.3"/>
    </cacheField>
    <cacheField name="week" numFmtId="0">
      <sharedItems containsSemiMixedTypes="0" containsString="0" containsNumber="1" containsInteger="1" minValue="1" maxValue="50"/>
    </cacheField>
    <cacheField name="year" numFmtId="0">
      <sharedItems containsSemiMixedTypes="0" containsString="0" containsNumber="1" containsInteger="1" minValue="2003" maxValue="2005" count="3">
        <n v="2004"/>
        <n v="2003"/>
        <n v="2005"/>
      </sharedItems>
    </cacheField>
  </cacheFields>
  <extLst>
    <ext xmlns:x14="http://schemas.microsoft.com/office/spreadsheetml/2009/9/main" uri="{725AE2AE-9491-48be-B2B4-4EB974FC3084}">
      <x14:pivotCacheDefinition pivotCacheId="671228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n v="103"/>
    <x v="0"/>
    <x v="0"/>
    <n v="1370"/>
    <n v="1002"/>
    <n v="10100"/>
    <s v="S18_1749"/>
    <n v="30"/>
    <n v="136"/>
    <n v="4080"/>
    <d v="2003-01-06T00:00:00"/>
    <x v="0"/>
    <x v="0"/>
    <d v="2004-10-19T00:00:00"/>
    <s v="S10_1678"/>
    <x v="0"/>
    <x v="0"/>
    <n v="7933"/>
    <n v="48.81"/>
    <n v="95.7"/>
    <n v="2"/>
    <x v="0"/>
  </r>
  <r>
    <n v="112"/>
    <x v="1"/>
    <x v="1"/>
    <n v="1166"/>
    <n v="1056"/>
    <n v="10100"/>
    <s v="S18_2248"/>
    <n v="50"/>
    <n v="55.09"/>
    <n v="2754.5"/>
    <d v="2003-01-09T00:00:00"/>
    <x v="0"/>
    <x v="0"/>
    <d v="2003-06-05T00:00:00"/>
    <s v="S10_1949"/>
    <x v="1"/>
    <x v="1"/>
    <n v="7305"/>
    <n v="98.58"/>
    <n v="214.3"/>
    <n v="2"/>
    <x v="1"/>
  </r>
  <r>
    <n v="114"/>
    <x v="2"/>
    <x v="2"/>
    <n v="1611"/>
    <n v="1076"/>
    <n v="10100"/>
    <s v="S18_4409"/>
    <n v="22"/>
    <n v="75.459999999999994"/>
    <n v="1660.12"/>
    <d v="2003-01-10T00:00:00"/>
    <x v="0"/>
    <x v="0"/>
    <d v="2004-12-18T00:00:00"/>
    <s v="S10_2016"/>
    <x v="2"/>
    <x v="0"/>
    <n v="6625"/>
    <n v="68.989999999999995"/>
    <n v="118.94"/>
    <n v="2"/>
    <x v="0"/>
  </r>
  <r>
    <n v="119"/>
    <x v="3"/>
    <x v="0"/>
    <n v="1370"/>
    <n v="1088"/>
    <n v="10100"/>
    <s v="S24_3969"/>
    <n v="49"/>
    <n v="35.29"/>
    <n v="1729.21"/>
    <d v="2003-01-29T00:00:00"/>
    <x v="0"/>
    <x v="0"/>
    <d v="2004-12-17T00:00:00"/>
    <s v="S10_4698"/>
    <x v="3"/>
    <x v="0"/>
    <n v="5582"/>
    <n v="91.02"/>
    <n v="193.66"/>
    <n v="5"/>
    <x v="0"/>
  </r>
  <r>
    <n v="121"/>
    <x v="4"/>
    <x v="3"/>
    <n v="1504"/>
    <n v="1102"/>
    <n v="10101"/>
    <s v="S18_2325"/>
    <n v="25"/>
    <n v="108.06"/>
    <n v="2701.5"/>
    <d v="2003-01-31T00:00:00"/>
    <x v="0"/>
    <x v="0"/>
    <d v="2003-06-06T00:00:00"/>
    <s v="S10_4757"/>
    <x v="4"/>
    <x v="1"/>
    <n v="3252"/>
    <n v="85.68"/>
    <n v="136"/>
    <n v="5"/>
    <x v="1"/>
  </r>
  <r>
    <n v="124"/>
    <x v="5"/>
    <x v="1"/>
    <n v="1165"/>
    <n v="1143"/>
    <n v="10101"/>
    <s v="S18_2795"/>
    <n v="26"/>
    <n v="167.06"/>
    <n v="4343.5600000000004"/>
    <d v="2003-02-11T00:00:00"/>
    <x v="1"/>
    <x v="0"/>
    <d v="2004-08-20T00:00:00"/>
    <s v="S10_4962"/>
    <x v="5"/>
    <x v="1"/>
    <n v="6791"/>
    <n v="103.42"/>
    <n v="147.74"/>
    <n v="7"/>
    <x v="0"/>
  </r>
  <r>
    <n v="125"/>
    <x v="6"/>
    <x v="4"/>
    <n v="1188"/>
    <n v="1165"/>
    <n v="10101"/>
    <s v="S24_1937"/>
    <n v="45"/>
    <n v="32.53"/>
    <n v="1463.8500000000001"/>
    <d v="2003-02-17T00:00:00"/>
    <x v="1"/>
    <x v="0"/>
    <d v="2003-05-20T00:00:00"/>
    <s v="S12_1099"/>
    <x v="6"/>
    <x v="1"/>
    <n v="68"/>
    <n v="95.34"/>
    <n v="194.57"/>
    <n v="8"/>
    <x v="1"/>
  </r>
  <r>
    <n v="128"/>
    <x v="7"/>
    <x v="5"/>
    <n v="1504"/>
    <n v="1166"/>
    <n v="10101"/>
    <s v="S24_2022"/>
    <n v="46"/>
    <n v="44.35"/>
    <n v="2040.1000000000001"/>
    <d v="2003-02-24T00:00:00"/>
    <x v="1"/>
    <x v="0"/>
    <d v="2004-12-15T00:00:00"/>
    <s v="S12_1108"/>
    <x v="7"/>
    <x v="1"/>
    <n v="3619"/>
    <n v="95.59"/>
    <n v="207.8"/>
    <n v="9"/>
    <x v="0"/>
  </r>
  <r>
    <n v="129"/>
    <x v="8"/>
    <x v="1"/>
    <n v="1165"/>
    <n v="1188"/>
    <n v="10102"/>
    <s v="S18_1342"/>
    <n v="39"/>
    <n v="95.55"/>
    <n v="3726.45"/>
    <d v="2003-03-03T00:00:00"/>
    <x v="2"/>
    <x v="0"/>
    <d v="2003-05-31T00:00:00"/>
    <s v="S12_1666"/>
    <x v="8"/>
    <x v="2"/>
    <n v="1579"/>
    <n v="77.900000000000006"/>
    <n v="136.66999999999999"/>
    <n v="10"/>
    <x v="1"/>
  </r>
  <r>
    <n v="131"/>
    <x v="9"/>
    <x v="1"/>
    <n v="1323"/>
    <n v="1216"/>
    <n v="10102"/>
    <s v="S18_1367"/>
    <n v="41"/>
    <n v="43.13"/>
    <n v="1768.3300000000002"/>
    <d v="2003-03-10T00:00:00"/>
    <x v="2"/>
    <x v="0"/>
    <d v="2004-03-10T00:00:00"/>
    <s v="S12_2823"/>
    <x v="9"/>
    <x v="0"/>
    <n v="9997"/>
    <n v="66.27"/>
    <n v="150.62"/>
    <n v="11"/>
    <x v="0"/>
  </r>
  <r>
    <n v="141"/>
    <x v="10"/>
    <x v="6"/>
    <n v="1370"/>
    <n v="1286"/>
    <n v="10103"/>
    <s v="S10_1949"/>
    <n v="26"/>
    <n v="214.3"/>
    <n v="5571.8"/>
    <d v="2003-03-18T00:00:00"/>
    <x v="2"/>
    <x v="0"/>
    <d v="2004-11-14T00:00:00"/>
    <s v="S12_3148"/>
    <x v="10"/>
    <x v="1"/>
    <n v="6906"/>
    <n v="89.14"/>
    <n v="151.08000000000001"/>
    <n v="12"/>
    <x v="0"/>
  </r>
  <r>
    <n v="144"/>
    <x v="11"/>
    <x v="7"/>
    <n v="1504"/>
    <n v="1323"/>
    <n v="10103"/>
    <s v="S10_4962"/>
    <n v="42"/>
    <n v="119.67"/>
    <n v="5026.1400000000003"/>
    <d v="2003-03-25T00:00:00"/>
    <x v="2"/>
    <x v="0"/>
    <d v="2004-08-08T00:00:00"/>
    <s v="S12_3380"/>
    <x v="11"/>
    <x v="1"/>
    <n v="9123"/>
    <n v="75.16"/>
    <n v="117.44"/>
    <n v="13"/>
    <x v="0"/>
  </r>
  <r>
    <n v="145"/>
    <x v="12"/>
    <x v="8"/>
    <n v="1401"/>
    <n v="1337"/>
    <n v="10103"/>
    <s v="S12_1666"/>
    <n v="27"/>
    <n v="121.64"/>
    <n v="3284.28"/>
    <d v="2003-03-24T00:00:00"/>
    <x v="2"/>
    <x v="0"/>
    <d v="2005-02-22T00:00:00"/>
    <s v="S12_3891"/>
    <x v="12"/>
    <x v="1"/>
    <n v="1049"/>
    <n v="83.05"/>
    <n v="173.02"/>
    <n v="13"/>
    <x v="2"/>
  </r>
  <r>
    <n v="146"/>
    <x v="13"/>
    <x v="0"/>
    <n v="1337"/>
    <n v="1370"/>
    <n v="10103"/>
    <s v="S18_1097"/>
    <n v="35"/>
    <n v="94.5"/>
    <n v="3307.5"/>
    <d v="2003-03-26T00:00:00"/>
    <x v="2"/>
    <x v="0"/>
    <d v="2003-02-16T00:00:00"/>
    <s v="S12_3990"/>
    <x v="13"/>
    <x v="1"/>
    <n v="5663"/>
    <n v="31.92"/>
    <n v="79.8"/>
    <n v="13"/>
    <x v="1"/>
  </r>
  <r>
    <n v="148"/>
    <x v="14"/>
    <x v="9"/>
    <n v="1621"/>
    <n v="1401"/>
    <n v="10103"/>
    <s v="S18_2432"/>
    <n v="22"/>
    <n v="58.34"/>
    <n v="1283.48"/>
    <d v="2003-04-01T00:00:00"/>
    <x v="3"/>
    <x v="0"/>
    <d v="2003-10-28T00:00:00"/>
    <s v="S12_4473"/>
    <x v="14"/>
    <x v="2"/>
    <n v="6125"/>
    <n v="55.7"/>
    <n v="118.5"/>
    <n v="14"/>
    <x v="1"/>
  </r>
  <r>
    <n v="151"/>
    <x v="15"/>
    <x v="1"/>
    <n v="1286"/>
    <n v="1501"/>
    <n v="10103"/>
    <s v="S18_2949"/>
    <n v="27"/>
    <n v="92.19"/>
    <n v="2489.13"/>
    <d v="2003-04-04T00:00:00"/>
    <x v="3"/>
    <x v="0"/>
    <d v="2004-11-04T00:00:00"/>
    <s v="S12_4675"/>
    <x v="15"/>
    <x v="1"/>
    <n v="7323"/>
    <n v="58.73"/>
    <n v="115.16"/>
    <n v="14"/>
    <x v="0"/>
  </r>
  <r>
    <n v="157"/>
    <x v="16"/>
    <x v="1"/>
    <n v="1216"/>
    <n v="1504"/>
    <n v="10103"/>
    <s v="S18_2957"/>
    <n v="35"/>
    <n v="61.84"/>
    <n v="2164.4"/>
    <d v="2003-04-11T00:00:00"/>
    <x v="3"/>
    <x v="0"/>
    <d v="2004-11-28T00:00:00"/>
    <s v="S18_1097"/>
    <x v="16"/>
    <x v="2"/>
    <n v="2613"/>
    <n v="58.33"/>
    <n v="116.67"/>
    <n v="15"/>
    <x v="0"/>
  </r>
  <r>
    <n v="161"/>
    <x v="17"/>
    <x v="1"/>
    <n v="1165"/>
    <n v="1611"/>
    <n v="10103"/>
    <s v="S18_3136"/>
    <n v="25"/>
    <n v="86.92"/>
    <n v="2173"/>
    <d v="2003-04-16T00:00:00"/>
    <x v="3"/>
    <x v="0"/>
    <d v="2005-03-05T00:00:00"/>
    <s v="S18_1129"/>
    <x v="17"/>
    <x v="1"/>
    <n v="3975"/>
    <n v="83.51"/>
    <n v="141.54"/>
    <n v="16"/>
    <x v="2"/>
  </r>
  <r>
    <n v="166"/>
    <x v="18"/>
    <x v="9"/>
    <n v="1612"/>
    <n v="1612"/>
    <n v="10103"/>
    <s v="S18_3320"/>
    <n v="46"/>
    <n v="86.31"/>
    <n v="3970.26"/>
    <d v="2003-04-21T00:00:00"/>
    <x v="3"/>
    <x v="0"/>
    <d v="2004-08-28T00:00:00"/>
    <s v="S18_1342"/>
    <x v="18"/>
    <x v="3"/>
    <n v="8693"/>
    <n v="60.62"/>
    <n v="102.74"/>
    <n v="17"/>
    <x v="0"/>
  </r>
  <r>
    <n v="167"/>
    <x v="19"/>
    <x v="10"/>
    <n v="1504"/>
    <n v="1619"/>
    <n v="10103"/>
    <s v="S18_4600"/>
    <n v="36"/>
    <n v="98.07"/>
    <n v="3530.5199999999995"/>
    <d v="2003-04-28T00:00:00"/>
    <x v="3"/>
    <x v="0"/>
    <d v="2003-04-11T00:00:00"/>
    <s v="S18_1367"/>
    <x v="19"/>
    <x v="3"/>
    <n v="8635"/>
    <n v="24.26"/>
    <n v="53.91"/>
    <n v="18"/>
    <x v="1"/>
  </r>
  <r>
    <n v="168"/>
    <x v="20"/>
    <x v="1"/>
    <n v="1286"/>
    <n v="1621"/>
    <n v="10103"/>
    <s v="S18_4668"/>
    <n v="41"/>
    <n v="40.75"/>
    <n v="1670.75"/>
    <d v="2003-04-29T00:00:00"/>
    <x v="3"/>
    <x v="0"/>
    <d v="2005-04-16T00:00:00"/>
    <s v="S18_1589"/>
    <x v="20"/>
    <x v="1"/>
    <n v="9042"/>
    <n v="65.959999999999994"/>
    <n v="124.44"/>
    <n v="18"/>
    <x v="2"/>
  </r>
  <r>
    <n v="169"/>
    <x v="21"/>
    <x v="11"/>
    <n v="1702"/>
    <n v="1625"/>
    <n v="10103"/>
    <s v="S24_2300"/>
    <n v="36"/>
    <n v="107.34"/>
    <n v="3864.2400000000002"/>
    <d v="2003-05-07T00:00:00"/>
    <x v="4"/>
    <x v="0"/>
    <d v="2004-12-27T00:00:00"/>
    <s v="S18_1662"/>
    <x v="21"/>
    <x v="4"/>
    <n v="5330"/>
    <n v="77.27"/>
    <n v="157.69"/>
    <n v="19"/>
    <x v="0"/>
  </r>
  <r>
    <n v="171"/>
    <x v="22"/>
    <x v="0"/>
    <n v="1370"/>
    <n v="1702"/>
    <n v="10103"/>
    <s v="S24_4258"/>
    <n v="25"/>
    <n v="88.62"/>
    <n v="2215.5"/>
    <d v="2003-05-08T00:00:00"/>
    <x v="4"/>
    <x v="0"/>
    <d v="2004-11-02T00:00:00"/>
    <s v="S18_1749"/>
    <x v="22"/>
    <x v="3"/>
    <n v="2724"/>
    <n v="86.7"/>
    <n v="170"/>
    <n v="19"/>
    <x v="0"/>
  </r>
  <r>
    <n v="172"/>
    <x v="23"/>
    <x v="0"/>
    <n v="1337"/>
    <n v="1621"/>
    <n v="10103"/>
    <s v="S32_1268"/>
    <n v="31"/>
    <n v="92.46"/>
    <n v="2866.2599999999998"/>
    <d v="2003-05-20T00:00:00"/>
    <x v="4"/>
    <x v="0"/>
    <d v="2003-08-15T00:00:00"/>
    <s v="S18_1889"/>
    <x v="23"/>
    <x v="1"/>
    <n v="8826"/>
    <n v="53.9"/>
    <n v="77"/>
    <n v="21"/>
    <x v="1"/>
  </r>
  <r>
    <n v="173"/>
    <x v="24"/>
    <x v="1"/>
    <n v="1188"/>
    <n v="1286"/>
    <n v="10103"/>
    <s v="S32_3522"/>
    <n v="45"/>
    <n v="63.35"/>
    <n v="2850.75"/>
    <d v="2003-05-21T00:00:00"/>
    <x v="4"/>
    <x v="0"/>
    <d v="2004-03-26T00:00:00"/>
    <s v="S18_1984"/>
    <x v="24"/>
    <x v="1"/>
    <n v="9772"/>
    <n v="93.89"/>
    <n v="142.25"/>
    <n v="21"/>
    <x v="0"/>
  </r>
  <r>
    <n v="175"/>
    <x v="25"/>
    <x v="1"/>
    <n v="1323"/>
    <n v="1216"/>
    <n v="10103"/>
    <s v="S700_2824"/>
    <n v="42"/>
    <n v="94.07"/>
    <n v="3950.9399999999996"/>
    <d v="2003-05-21T00:00:00"/>
    <x v="4"/>
    <x v="0"/>
    <d v="2003-11-25T00:00:00"/>
    <s v="S18_2238"/>
    <x v="25"/>
    <x v="1"/>
    <n v="4724"/>
    <n v="101.51"/>
    <n v="163.72999999999999"/>
    <n v="21"/>
    <x v="1"/>
  </r>
  <r>
    <n v="177"/>
    <x v="26"/>
    <x v="12"/>
    <n v="1621"/>
    <n v="1165"/>
    <n v="10104"/>
    <s v="S12_3148"/>
    <n v="34"/>
    <n v="131.44"/>
    <n v="4468.96"/>
    <d v="2003-05-28T00:00:00"/>
    <x v="4"/>
    <x v="0"/>
    <d v="2003-01-28T00:00:00"/>
    <s v="S18_2248"/>
    <x v="26"/>
    <x v="3"/>
    <n v="540"/>
    <n v="33.299999999999997"/>
    <n v="60.54"/>
    <n v="22"/>
    <x v="1"/>
  </r>
  <r>
    <n v="181"/>
    <x v="27"/>
    <x v="1"/>
    <n v="1286"/>
    <n v="1612"/>
    <n v="10104"/>
    <s v="S12_4473"/>
    <n v="41"/>
    <n v="111.39"/>
    <n v="4566.99"/>
    <d v="2003-06-03T00:00:00"/>
    <x v="5"/>
    <x v="0"/>
    <d v="2003-10-18T00:00:00"/>
    <s v="S18_2319"/>
    <x v="27"/>
    <x v="2"/>
    <n v="8258"/>
    <n v="74.86"/>
    <n v="122.73"/>
    <n v="23"/>
    <x v="1"/>
  </r>
  <r>
    <n v="186"/>
    <x v="28"/>
    <x v="13"/>
    <n v="1501"/>
    <n v="1504"/>
    <n v="10104"/>
    <s v="S18_2238"/>
    <n v="24"/>
    <n v="135.9"/>
    <n v="3261.6000000000004"/>
    <d v="2003-06-06T00:00:00"/>
    <x v="5"/>
    <x v="0"/>
    <d v="2004-03-24T00:00:00"/>
    <s v="S18_2325"/>
    <x v="28"/>
    <x v="3"/>
    <n v="9354"/>
    <n v="58.48"/>
    <n v="127.13"/>
    <n v="23"/>
    <x v="0"/>
  </r>
  <r>
    <n v="187"/>
    <x v="29"/>
    <x v="14"/>
    <n v="1501"/>
    <n v="1286"/>
    <n v="10104"/>
    <s v="S18_2319"/>
    <n v="29"/>
    <n v="122.73"/>
    <n v="3559.17"/>
    <d v="2003-06-12T00:00:00"/>
    <x v="5"/>
    <x v="0"/>
    <d v="2004-11-18T00:00:00"/>
    <s v="S18_2432"/>
    <x v="29"/>
    <x v="2"/>
    <n v="2018"/>
    <n v="24.92"/>
    <n v="60.77"/>
    <n v="24"/>
    <x v="0"/>
  </r>
  <r>
    <n v="189"/>
    <x v="30"/>
    <x v="15"/>
    <n v="1504"/>
    <n v="1370"/>
    <n v="10104"/>
    <s v="S18_3232"/>
    <n v="23"/>
    <n v="165.95"/>
    <n v="3816.85"/>
    <d v="2003-06-16T00:00:00"/>
    <x v="5"/>
    <x v="0"/>
    <d v="2004-12-08T00:00:00"/>
    <s v="S18_2581"/>
    <x v="30"/>
    <x v="4"/>
    <n v="992"/>
    <n v="49"/>
    <n v="84.48"/>
    <n v="25"/>
    <x v="0"/>
  </r>
  <r>
    <n v="198"/>
    <x v="31"/>
    <x v="1"/>
    <n v="1216"/>
    <n v="1166"/>
    <n v="10104"/>
    <s v="S18_4027"/>
    <n v="38"/>
    <n v="119.2"/>
    <n v="4529.6000000000004"/>
    <d v="2003-06-16T00:00:00"/>
    <x v="5"/>
    <x v="0"/>
    <d v="2003-12-11T00:00:00"/>
    <s v="S18_2625"/>
    <x v="31"/>
    <x v="0"/>
    <n v="4357"/>
    <n v="24.23"/>
    <n v="60.57"/>
    <n v="25"/>
    <x v="1"/>
  </r>
  <r>
    <n v="201"/>
    <x v="32"/>
    <x v="14"/>
    <n v="1501"/>
    <n v="1611"/>
    <n v="10104"/>
    <s v="S24_1444"/>
    <n v="35"/>
    <n v="52.02"/>
    <n v="1820.7"/>
    <d v="2003-06-25T00:00:00"/>
    <x v="5"/>
    <x v="0"/>
    <d v="2003-04-09T00:00:00"/>
    <s v="S18_2795"/>
    <x v="32"/>
    <x v="3"/>
    <n v="548"/>
    <n v="72.56"/>
    <n v="168.75"/>
    <n v="26"/>
    <x v="1"/>
  </r>
  <r>
    <n v="202"/>
    <x v="33"/>
    <x v="16"/>
    <n v="1323"/>
    <n v="1370"/>
    <n v="10104"/>
    <s v="S24_2840"/>
    <n v="44"/>
    <n v="30.41"/>
    <n v="1338.04"/>
    <d v="2003-06-27T00:00:00"/>
    <x v="5"/>
    <x v="0"/>
    <d v="2003-03-12T00:00:00"/>
    <s v="S18_2870"/>
    <x v="33"/>
    <x v="1"/>
    <n v="8164"/>
    <n v="56.76"/>
    <n v="132"/>
    <n v="26"/>
    <x v="1"/>
  </r>
  <r>
    <n v="204"/>
    <x v="34"/>
    <x v="1"/>
    <n v="1188"/>
    <n v="1504"/>
    <n v="10104"/>
    <s v="S24_4048"/>
    <n v="26"/>
    <n v="106.45"/>
    <n v="2767.7000000000003"/>
    <d v="2003-07-01T00:00:00"/>
    <x v="6"/>
    <x v="0"/>
    <d v="2004-12-02T00:00:00"/>
    <s v="S18_2949"/>
    <x v="34"/>
    <x v="3"/>
    <n v="4189"/>
    <n v="60.78"/>
    <n v="101.31"/>
    <n v="27"/>
    <x v="0"/>
  </r>
  <r>
    <n v="205"/>
    <x v="35"/>
    <x v="1"/>
    <n v="1166"/>
    <n v="1165"/>
    <n v="10104"/>
    <s v="S32_2509"/>
    <n v="35"/>
    <n v="51.95"/>
    <n v="1818.25"/>
    <d v="2003-07-02T00:00:00"/>
    <x v="6"/>
    <x v="0"/>
    <d v="2004-09-11T00:00:00"/>
    <s v="S18_2957"/>
    <x v="35"/>
    <x v="3"/>
    <n v="5649"/>
    <n v="34.35"/>
    <n v="62.46"/>
    <n v="27"/>
    <x v="0"/>
  </r>
  <r>
    <n v="206"/>
    <x v="36"/>
    <x v="9"/>
    <n v="1612"/>
    <n v="1188"/>
    <n v="10104"/>
    <s v="S32_3207"/>
    <n v="49"/>
    <n v="56.55"/>
    <n v="2770.95"/>
    <d v="2003-07-04T00:00:00"/>
    <x v="6"/>
    <x v="0"/>
    <d v="2003-07-19T00:00:00"/>
    <s v="S18_3029"/>
    <x v="36"/>
    <x v="5"/>
    <n v="4259"/>
    <n v="51.61"/>
    <n v="86.02"/>
    <n v="27"/>
    <x v="1"/>
  </r>
  <r>
    <n v="209"/>
    <x v="37"/>
    <x v="0"/>
    <n v="1370"/>
    <n v="1504"/>
    <n v="10104"/>
    <s v="S50_1392"/>
    <n v="33"/>
    <n v="114.59"/>
    <n v="3781.4700000000003"/>
    <d v="2003-07-10T00:00:00"/>
    <x v="6"/>
    <x v="0"/>
    <d v="2004-11-01T00:00:00"/>
    <s v="S18_3136"/>
    <x v="37"/>
    <x v="3"/>
    <n v="5992"/>
    <n v="60.74"/>
    <n v="104.72"/>
    <n v="28"/>
    <x v="0"/>
  </r>
  <r>
    <n v="211"/>
    <x v="38"/>
    <x v="17"/>
    <n v="1621"/>
    <n v="1165"/>
    <n v="10104"/>
    <s v="S50_1514"/>
    <n v="32"/>
    <n v="53.31"/>
    <n v="1705.92"/>
    <d v="2003-07-07T00:00:00"/>
    <x v="6"/>
    <x v="0"/>
    <d v="2005-05-19T00:00:00"/>
    <s v="S18_3140"/>
    <x v="38"/>
    <x v="3"/>
    <n v="3913"/>
    <n v="68.3"/>
    <n v="136.59"/>
    <n v="28"/>
    <x v="2"/>
  </r>
  <r>
    <n v="216"/>
    <x v="39"/>
    <x v="6"/>
    <n v="1702"/>
    <n v="1166"/>
    <n v="10105"/>
    <s v="S10_4757"/>
    <n v="50"/>
    <n v="127.84"/>
    <n v="6392"/>
    <d v="2003-07-16T00:00:00"/>
    <x v="6"/>
    <x v="0"/>
    <d v="2004-01-30T00:00:00"/>
    <s v="S18_3232"/>
    <x v="39"/>
    <x v="1"/>
    <n v="8347"/>
    <n v="77.900000000000006"/>
    <n v="169.34"/>
    <n v="29"/>
    <x v="0"/>
  </r>
  <r>
    <n v="219"/>
    <x v="40"/>
    <x v="1"/>
    <n v="1166"/>
    <n v="1501"/>
    <n v="10105"/>
    <s v="S12_1108"/>
    <n v="41"/>
    <n v="205.72"/>
    <n v="8434.52"/>
    <d v="2003-07-24T00:00:00"/>
    <x v="6"/>
    <x v="0"/>
    <d v="2004-12-31T00:00:00"/>
    <s v="S18_3233"/>
    <x v="40"/>
    <x v="1"/>
    <n v="7733"/>
    <n v="57.01"/>
    <n v="107.57"/>
    <n v="30"/>
    <x v="0"/>
  </r>
  <r>
    <n v="223"/>
    <x v="41"/>
    <x v="5"/>
    <n v="1165"/>
    <n v="1370"/>
    <n v="10105"/>
    <s v="S12_3891"/>
    <n v="29"/>
    <n v="141.88"/>
    <n v="4114.5199999999995"/>
    <d v="2003-08-01T00:00:00"/>
    <x v="7"/>
    <x v="0"/>
    <d v="2005-03-25T00:00:00"/>
    <s v="S18_3259"/>
    <x v="41"/>
    <x v="6"/>
    <n v="6450"/>
    <n v="67.56"/>
    <n v="100.84"/>
    <n v="31"/>
    <x v="2"/>
  </r>
  <r>
    <n v="227"/>
    <x v="42"/>
    <x v="8"/>
    <n v="1401"/>
    <n v="1401"/>
    <n v="10105"/>
    <s v="S18_3140"/>
    <n v="22"/>
    <n v="136.59"/>
    <n v="3004.98"/>
    <d v="2003-08-08T00:00:00"/>
    <x v="7"/>
    <x v="0"/>
    <d v="2005-03-18T00:00:00"/>
    <s v="S18_3278"/>
    <x v="42"/>
    <x v="1"/>
    <n v="1917"/>
    <n v="49.05"/>
    <n v="80.41"/>
    <n v="32"/>
    <x v="2"/>
  </r>
  <r>
    <n v="233"/>
    <x v="43"/>
    <x v="16"/>
    <n v="1286"/>
    <n v="1166"/>
    <n v="10105"/>
    <s v="S18_3259"/>
    <n v="38"/>
    <n v="87.73"/>
    <n v="3333.7400000000002"/>
    <d v="2003-08-10T00:00:00"/>
    <x v="7"/>
    <x v="0"/>
    <d v="2003-10-26T00:00:00"/>
    <s v="S18_3320"/>
    <x v="43"/>
    <x v="3"/>
    <n v="7913"/>
    <n v="57.54"/>
    <n v="99.21"/>
    <n v="33"/>
    <x v="1"/>
  </r>
  <r>
    <n v="237"/>
    <x v="44"/>
    <x v="6"/>
    <n v="1370"/>
    <n v="1165"/>
    <n v="10105"/>
    <s v="S18_4522"/>
    <n v="41"/>
    <n v="75.48"/>
    <n v="3094.6800000000003"/>
    <d v="2003-08-13T00:00:00"/>
    <x v="7"/>
    <x v="0"/>
    <d v="2003-02-25T00:00:00"/>
    <s v="S18_3482"/>
    <x v="44"/>
    <x v="1"/>
    <n v="9127"/>
    <n v="73.489999999999995"/>
    <n v="146.99"/>
    <n v="33"/>
    <x v="1"/>
  </r>
  <r>
    <n v="239"/>
    <x v="45"/>
    <x v="1"/>
    <n v="1166"/>
    <n v="1216"/>
    <n v="10105"/>
    <s v="S24_2011"/>
    <n v="43"/>
    <n v="117.97"/>
    <n v="5072.71"/>
    <d v="2003-08-25T00:00:00"/>
    <x v="7"/>
    <x v="0"/>
    <d v="2003-12-09T00:00:00"/>
    <s v="S18_3685"/>
    <x v="45"/>
    <x v="1"/>
    <n v="8990"/>
    <n v="62.16"/>
    <n v="141.28"/>
    <n v="35"/>
    <x v="1"/>
  </r>
  <r>
    <n v="240"/>
    <x v="46"/>
    <x v="14"/>
    <n v="1501"/>
    <n v="1789"/>
    <n v="10105"/>
    <s v="S24_3151"/>
    <n v="44"/>
    <n v="73.459999999999994"/>
    <n v="3232.24"/>
    <d v="2003-09-03T00:00:00"/>
    <x v="8"/>
    <x v="0"/>
    <d v="2004-07-09T00:00:00"/>
    <s v="S18_3782"/>
    <x v="46"/>
    <x v="0"/>
    <n v="7689"/>
    <n v="32.950000000000003"/>
    <n v="62.17"/>
    <n v="36"/>
    <x v="0"/>
  </r>
  <r>
    <n v="242"/>
    <x v="47"/>
    <x v="0"/>
    <n v="1370"/>
    <n v="1702"/>
    <n v="10105"/>
    <s v="S24_3816"/>
    <n v="50"/>
    <n v="75.47"/>
    <n v="3773.5"/>
    <d v="2003-09-05T00:00:00"/>
    <x v="8"/>
    <x v="0"/>
    <d v="2004-08-16T00:00:00"/>
    <s v="S18_3856"/>
    <x v="47"/>
    <x v="3"/>
    <n v="2378"/>
    <n v="64.58"/>
    <n v="105.87"/>
    <n v="36"/>
    <x v="0"/>
  </r>
  <r>
    <n v="247"/>
    <x v="48"/>
    <x v="5"/>
    <n v="1611"/>
    <n v="1323"/>
    <n v="10105"/>
    <s v="S700_1138"/>
    <n v="41"/>
    <n v="54"/>
    <n v="2214"/>
    <d v="2003-09-11T00:00:00"/>
    <x v="8"/>
    <x v="0"/>
    <d v="2004-05-17T00:00:00"/>
    <s v="S18_4027"/>
    <x v="48"/>
    <x v="1"/>
    <n v="5545"/>
    <n v="91.92"/>
    <n v="143.62"/>
    <n v="37"/>
    <x v="0"/>
  </r>
  <r>
    <n v="249"/>
    <x v="49"/>
    <x v="18"/>
    <n v="1401"/>
    <n v="1165"/>
    <n v="10105"/>
    <s v="S700_1938"/>
    <n v="29"/>
    <n v="86.61"/>
    <n v="2511.69"/>
    <d v="2003-09-12T00:00:00"/>
    <x v="8"/>
    <x v="0"/>
    <d v="2004-12-12T00:00:00"/>
    <s v="S18_4409"/>
    <x v="49"/>
    <x v="3"/>
    <n v="6553"/>
    <n v="43.26"/>
    <n v="92.03"/>
    <n v="37"/>
    <x v="0"/>
  </r>
  <r>
    <n v="250"/>
    <x v="50"/>
    <x v="0"/>
    <n v="1337"/>
    <n v="1501"/>
    <n v="10105"/>
    <s v="S700_2610"/>
    <n v="31"/>
    <n v="60.72"/>
    <n v="1882.32"/>
    <d v="2003-09-19T00:00:00"/>
    <x v="8"/>
    <x v="0"/>
    <d v="2003-04-09T00:00:00"/>
    <s v="S18_4522"/>
    <x v="50"/>
    <x v="3"/>
    <n v="8290"/>
    <n v="52.66"/>
    <n v="87.77"/>
    <n v="38"/>
    <x v="1"/>
  </r>
  <r>
    <n v="256"/>
    <x v="51"/>
    <x v="0"/>
    <n v="1370"/>
    <n v="1188"/>
    <n v="10105"/>
    <s v="S700_3505"/>
    <n v="39"/>
    <n v="92.16"/>
    <n v="3594.24"/>
    <d v="2003-09-21T00:00:00"/>
    <x v="8"/>
    <x v="0"/>
    <d v="2004-07-03T00:00:00"/>
    <s v="S18_4600"/>
    <x v="51"/>
    <x v="2"/>
    <n v="3128"/>
    <n v="84.76"/>
    <n v="121.08"/>
    <n v="39"/>
    <x v="0"/>
  </r>
  <r>
    <n v="259"/>
    <x v="52"/>
    <x v="5"/>
    <n v="1504"/>
    <n v="1612"/>
    <n v="10105"/>
    <s v="S700_3962"/>
    <n v="22"/>
    <n v="99.31"/>
    <n v="2184.8200000000002"/>
    <d v="2003-09-25T00:00:00"/>
    <x v="8"/>
    <x v="0"/>
    <d v="2004-04-26T00:00:00"/>
    <s v="S18_4668"/>
    <x v="52"/>
    <x v="3"/>
    <n v="6645"/>
    <n v="23.14"/>
    <n v="50.31"/>
    <n v="39"/>
    <x v="0"/>
  </r>
  <r>
    <n v="260"/>
    <x v="53"/>
    <x v="16"/>
    <n v="1323"/>
    <n v="1370"/>
    <n v="10105"/>
    <s v="S72_3212"/>
    <n v="25"/>
    <n v="44.77"/>
    <n v="1119.25"/>
    <d v="2003-09-28T00:00:00"/>
    <x v="8"/>
    <x v="0"/>
    <d v="2004-12-01T00:00:00"/>
    <s v="S18_4721"/>
    <x v="53"/>
    <x v="1"/>
    <n v="1249"/>
    <n v="69.930000000000007"/>
    <n v="148.80000000000001"/>
    <n v="40"/>
    <x v="0"/>
  </r>
  <r>
    <n v="273"/>
    <x v="54"/>
    <x v="5"/>
    <n v="1216"/>
    <n v="1621"/>
    <n v="10106"/>
    <s v="S18_1662"/>
    <n v="36"/>
    <n v="134.04"/>
    <n v="4825.4399999999996"/>
    <d v="2003-10-02T00:00:00"/>
    <x v="9"/>
    <x v="0"/>
    <d v="2003-02-20T00:00:00"/>
    <s v="S18_4933"/>
    <x v="54"/>
    <x v="1"/>
    <n v="3209"/>
    <n v="34.21"/>
    <n v="71.27"/>
    <n v="40"/>
    <x v="1"/>
  </r>
  <r>
    <n v="276"/>
    <x v="55"/>
    <x v="2"/>
    <n v="1611"/>
    <n v="1702"/>
    <n v="10106"/>
    <s v="S18_2581"/>
    <n v="34"/>
    <n v="81.099999999999994"/>
    <n v="2757.3999999999996"/>
    <d v="2003-10-06T00:00:00"/>
    <x v="9"/>
    <x v="0"/>
    <d v="2004-03-18T00:00:00"/>
    <s v="S24_1046"/>
    <x v="55"/>
    <x v="1"/>
    <n v="1005"/>
    <n v="49.24"/>
    <n v="73.489999999999995"/>
    <n v="41"/>
    <x v="0"/>
  </r>
  <r>
    <n v="278"/>
    <x v="56"/>
    <x v="18"/>
    <n v="1401"/>
    <n v="1166"/>
    <n v="10106"/>
    <s v="S18_3029"/>
    <n v="41"/>
    <n v="80.86"/>
    <n v="3315.2599999999998"/>
    <d v="2003-10-08T00:00:00"/>
    <x v="9"/>
    <x v="0"/>
    <d v="2004-01-16T00:00:00"/>
    <s v="S24_1444"/>
    <x v="56"/>
    <x v="1"/>
    <n v="4074"/>
    <n v="32.369999999999997"/>
    <n v="57.8"/>
    <n v="41"/>
    <x v="0"/>
  </r>
  <r>
    <n v="282"/>
    <x v="57"/>
    <x v="2"/>
    <n v="1611"/>
    <n v="1165"/>
    <n v="10106"/>
    <s v="S18_3856"/>
    <n v="41"/>
    <n v="94.22"/>
    <n v="3863.02"/>
    <d v="2003-10-09T00:00:00"/>
    <x v="9"/>
    <x v="0"/>
    <d v="2003-12-10T00:00:00"/>
    <s v="S24_1578"/>
    <x v="57"/>
    <x v="0"/>
    <n v="7003"/>
    <n v="60.86"/>
    <n v="112.7"/>
    <n v="41"/>
    <x v="1"/>
  </r>
  <r>
    <n v="286"/>
    <x v="58"/>
    <x v="1"/>
    <n v="1216"/>
    <n v="1401"/>
    <n v="10106"/>
    <s v="S24_1785"/>
    <n v="28"/>
    <n v="107.23"/>
    <n v="3002.44"/>
    <d v="2003-10-10T00:00:00"/>
    <x v="9"/>
    <x v="0"/>
    <d v="2003-04-22T00:00:00"/>
    <s v="S24_1628"/>
    <x v="58"/>
    <x v="1"/>
    <n v="8197"/>
    <n v="29.18"/>
    <n v="50.31"/>
    <n v="41"/>
    <x v="1"/>
  </r>
  <r>
    <n v="293"/>
    <x v="59"/>
    <x v="19"/>
    <n v="1501"/>
    <n v="1286"/>
    <n v="10106"/>
    <s v="S24_2841"/>
    <n v="49"/>
    <n v="65.77"/>
    <n v="3222.73"/>
    <d v="2003-10-10T00:00:00"/>
    <x v="9"/>
    <x v="0"/>
    <d v="2004-08-11T00:00:00"/>
    <s v="S24_1785"/>
    <x v="59"/>
    <x v="4"/>
    <n v="3627"/>
    <n v="66.739999999999995"/>
    <n v="109.42"/>
    <n v="41"/>
    <x v="0"/>
  </r>
  <r>
    <n v="298"/>
    <x v="60"/>
    <x v="19"/>
    <n v="1702"/>
    <n v="1370"/>
    <n v="10106"/>
    <s v="S24_3420"/>
    <n v="31"/>
    <n v="55.89"/>
    <n v="1732.59"/>
    <d v="2003-10-11T00:00:00"/>
    <x v="9"/>
    <x v="0"/>
    <d v="2003-12-26T00:00:00"/>
    <s v="S24_1937"/>
    <x v="60"/>
    <x v="3"/>
    <n v="7332"/>
    <n v="22.57"/>
    <n v="33.19"/>
    <n v="41"/>
    <x v="1"/>
  </r>
  <r>
    <n v="299"/>
    <x v="61"/>
    <x v="10"/>
    <n v="1504"/>
    <n v="1166"/>
    <n v="10106"/>
    <s v="S24_3949"/>
    <n v="50"/>
    <n v="55.96"/>
    <n v="2798"/>
    <d v="2003-10-17T00:00:00"/>
    <x v="9"/>
    <x v="0"/>
    <d v="2005-03-27T00:00:00"/>
    <s v="S24_2000"/>
    <x v="61"/>
    <x v="0"/>
    <n v="15"/>
    <n v="37.32"/>
    <n v="76.17"/>
    <n v="42"/>
    <x v="2"/>
  </r>
  <r>
    <n v="303"/>
    <x v="62"/>
    <x v="20"/>
    <n v="1323"/>
    <n v="1501"/>
    <n v="10106"/>
    <s v="S24_4278"/>
    <n v="26"/>
    <n v="71"/>
    <n v="1846"/>
    <d v="2003-10-18T00:00:00"/>
    <x v="9"/>
    <x v="0"/>
    <d v="2003-12-22T00:00:00"/>
    <s v="S24_2011"/>
    <x v="62"/>
    <x v="5"/>
    <n v="1898"/>
    <n v="82.34"/>
    <n v="122.89"/>
    <n v="42"/>
    <x v="1"/>
  </r>
  <r>
    <n v="307"/>
    <x v="63"/>
    <x v="5"/>
    <n v="1337"/>
    <n v="1370"/>
    <n v="10106"/>
    <s v="S32_4289"/>
    <n v="33"/>
    <n v="65.349999999999994"/>
    <n v="2156.5499999999997"/>
    <d v="2003-10-20T00:00:00"/>
    <x v="9"/>
    <x v="0"/>
    <d v="2004-07-26T00:00:00"/>
    <s v="S24_2022"/>
    <x v="63"/>
    <x v="3"/>
    <n v="2847"/>
    <n v="20.61"/>
    <n v="44.8"/>
    <n v="43"/>
    <x v="0"/>
  </r>
  <r>
    <n v="311"/>
    <x v="64"/>
    <x v="13"/>
    <n v="1501"/>
    <n v="1611"/>
    <n v="10106"/>
    <s v="S50_1341"/>
    <n v="39"/>
    <n v="35.78"/>
    <n v="1395.42"/>
    <d v="2003-10-21T00:00:00"/>
    <x v="9"/>
    <x v="1"/>
    <d v="2003-06-18T00:00:00"/>
    <s v="S24_2300"/>
    <x v="64"/>
    <x v="2"/>
    <n v="2327"/>
    <n v="61.34"/>
    <n v="127.79"/>
    <n v="43"/>
    <x v="1"/>
  </r>
  <r>
    <n v="314"/>
    <x v="65"/>
    <x v="21"/>
    <n v="1401"/>
    <n v="1401"/>
    <n v="10106"/>
    <s v="S700_1691"/>
    <n v="31"/>
    <n v="91.34"/>
    <n v="2831.54"/>
    <d v="2003-10-22T00:00:00"/>
    <x v="9"/>
    <x v="0"/>
    <d v="2004-12-14T00:00:00"/>
    <s v="S24_2360"/>
    <x v="65"/>
    <x v="0"/>
    <n v="6840"/>
    <n v="47.1"/>
    <n v="69.260000000000005"/>
    <n v="43"/>
    <x v="0"/>
  </r>
  <r>
    <n v="319"/>
    <x v="66"/>
    <x v="1"/>
    <n v="1323"/>
    <n v="1337"/>
    <n v="10106"/>
    <s v="S700_2047"/>
    <n v="30"/>
    <n v="85.09"/>
    <n v="2552.7000000000003"/>
    <d v="2003-10-21T00:00:00"/>
    <x v="9"/>
    <x v="0"/>
    <d v="2004-11-19T00:00:00"/>
    <s v="S24_2766"/>
    <x v="66"/>
    <x v="1"/>
    <n v="2350"/>
    <n v="47.25"/>
    <n v="90.87"/>
    <n v="43"/>
    <x v="0"/>
  </r>
  <r>
    <n v="320"/>
    <x v="67"/>
    <x v="1"/>
    <n v="1188"/>
    <n v="1370"/>
    <n v="10106"/>
    <s v="S700_2466"/>
    <n v="34"/>
    <n v="99.72"/>
    <n v="3390.48"/>
    <d v="2003-10-23T00:00:00"/>
    <x v="9"/>
    <x v="2"/>
    <d v="2004-09-07T00:00:00"/>
    <s v="S24_2840"/>
    <x v="67"/>
    <x v="1"/>
    <n v="2542"/>
    <n v="15.91"/>
    <n v="35.36"/>
    <n v="43"/>
    <x v="0"/>
  </r>
  <r>
    <n v="321"/>
    <x v="68"/>
    <x v="1"/>
    <n v="1165"/>
    <n v="1166"/>
    <n v="10106"/>
    <s v="S700_2834"/>
    <n v="32"/>
    <n v="113.9"/>
    <n v="3644.8"/>
    <d v="2003-10-28T00:00:00"/>
    <x v="9"/>
    <x v="0"/>
    <d v="2004-11-14T00:00:00"/>
    <s v="S24_2841"/>
    <x v="68"/>
    <x v="4"/>
    <n v="5942"/>
    <n v="34.25"/>
    <n v="68.510000000000005"/>
    <n v="44"/>
    <x v="0"/>
  </r>
  <r>
    <n v="323"/>
    <x v="69"/>
    <x v="22"/>
    <n v="1612"/>
    <n v="1611"/>
    <n v="10106"/>
    <s v="S700_3167"/>
    <n v="44"/>
    <n v="76"/>
    <n v="3344"/>
    <d v="2003-11-04T00:00:00"/>
    <x v="10"/>
    <x v="0"/>
    <d v="2003-11-18T00:00:00"/>
    <s v="S24_2887"/>
    <x v="69"/>
    <x v="1"/>
    <n v="1452"/>
    <n v="72.819999999999993"/>
    <n v="117.44"/>
    <n v="45"/>
    <x v="1"/>
  </r>
  <r>
    <n v="324"/>
    <x v="70"/>
    <x v="14"/>
    <n v="1501"/>
    <n v="1370"/>
    <n v="10106"/>
    <s v="S700_4002"/>
    <n v="48"/>
    <n v="70.33"/>
    <n v="3375.84"/>
    <d v="2003-11-04T00:00:00"/>
    <x v="10"/>
    <x v="0"/>
    <d v="2005-02-02T00:00:00"/>
    <s v="S24_2972"/>
    <x v="70"/>
    <x v="1"/>
    <n v="7723"/>
    <n v="16.239999999999998"/>
    <n v="37.76"/>
    <n v="45"/>
    <x v="2"/>
  </r>
  <r>
    <n v="328"/>
    <x v="71"/>
    <x v="1"/>
    <n v="1323"/>
    <n v="1504"/>
    <n v="10106"/>
    <s v="S72_1253"/>
    <n v="48"/>
    <n v="43.7"/>
    <n v="2097.6000000000004"/>
    <d v="2003-11-05T00:00:00"/>
    <x v="10"/>
    <x v="0"/>
    <d v="2003-08-05T00:00:00"/>
    <s v="S24_3151"/>
    <x v="71"/>
    <x v="3"/>
    <n v="9173"/>
    <n v="46.91"/>
    <n v="88.51"/>
    <n v="45"/>
    <x v="1"/>
  </r>
  <r>
    <n v="333"/>
    <x v="72"/>
    <x v="2"/>
    <n v="1611"/>
    <n v="1165"/>
    <n v="10107"/>
    <s v="S10_1678"/>
    <n v="30"/>
    <n v="81.349999999999994"/>
    <n v="2440.5"/>
    <d v="2003-11-05T00:00:00"/>
    <x v="10"/>
    <x v="0"/>
    <d v="2004-09-16T00:00:00"/>
    <s v="S24_3191"/>
    <x v="72"/>
    <x v="1"/>
    <n v="4695"/>
    <n v="50.51"/>
    <n v="85.61"/>
    <n v="45"/>
    <x v="0"/>
  </r>
  <r>
    <n v="334"/>
    <x v="73"/>
    <x v="13"/>
    <n v="1501"/>
    <n v="1188"/>
    <n v="10107"/>
    <s v="S10_2016"/>
    <n v="39"/>
    <n v="105.86"/>
    <n v="4128.54"/>
    <d v="2003-11-05T00:00:00"/>
    <x v="10"/>
    <x v="0"/>
    <d v="2004-07-07T00:00:00"/>
    <s v="S24_3371"/>
    <x v="73"/>
    <x v="1"/>
    <n v="7995"/>
    <n v="38.58"/>
    <n v="61.23"/>
    <n v="45"/>
    <x v="0"/>
  </r>
  <r>
    <n v="335"/>
    <x v="74"/>
    <x v="5"/>
    <n v="1789"/>
    <n v="1504"/>
    <n v="10107"/>
    <s v="S10_4698"/>
    <n v="27"/>
    <n v="172.36"/>
    <n v="4653.72"/>
    <d v="2003-11-06T00:00:00"/>
    <x v="10"/>
    <x v="0"/>
    <d v="2004-02-28T00:00:00"/>
    <s v="S24_3420"/>
    <x v="74"/>
    <x v="3"/>
    <n v="2902"/>
    <n v="26.3"/>
    <n v="65.75"/>
    <n v="45"/>
    <x v="0"/>
  </r>
  <r>
    <n v="339"/>
    <x v="75"/>
    <x v="1"/>
    <n v="1188"/>
    <n v="1165"/>
    <n v="10107"/>
    <s v="S12_2823"/>
    <n v="21"/>
    <n v="122"/>
    <n v="2562"/>
    <d v="2003-11-06T00:00:00"/>
    <x v="10"/>
    <x v="0"/>
    <d v="2004-09-19T00:00:00"/>
    <s v="S24_3432"/>
    <x v="75"/>
    <x v="1"/>
    <n v="9446"/>
    <n v="62.11"/>
    <n v="107.08"/>
    <n v="45"/>
    <x v="0"/>
  </r>
  <r>
    <n v="344"/>
    <x v="76"/>
    <x v="6"/>
    <n v="1702"/>
    <n v="1323"/>
    <n v="10107"/>
    <s v="S18_2625"/>
    <n v="29"/>
    <n v="52.7"/>
    <n v="1528.3000000000002"/>
    <d v="2003-11-06T00:00:00"/>
    <x v="10"/>
    <x v="0"/>
    <d v="2003-12-03T00:00:00"/>
    <s v="S24_3816"/>
    <x v="76"/>
    <x v="3"/>
    <n v="6621"/>
    <n v="48.64"/>
    <n v="83.86"/>
    <n v="45"/>
    <x v="1"/>
  </r>
  <r>
    <n v="347"/>
    <x v="77"/>
    <x v="1"/>
    <n v="1166"/>
    <n v="1370"/>
    <n v="10107"/>
    <s v="S24_1578"/>
    <n v="25"/>
    <n v="96.92"/>
    <n v="2423"/>
    <d v="2003-11-07T00:00:00"/>
    <x v="10"/>
    <x v="0"/>
    <d v="2004-03-15T00:00:00"/>
    <s v="S24_3856"/>
    <x v="77"/>
    <x v="1"/>
    <n v="6600"/>
    <n v="98.3"/>
    <n v="140.43"/>
    <n v="45"/>
    <x v="0"/>
  </r>
  <r>
    <n v="348"/>
    <x v="78"/>
    <x v="15"/>
    <n v="1504"/>
    <n v="1504"/>
    <n v="10107"/>
    <s v="S24_2000"/>
    <n v="38"/>
    <n v="73.12"/>
    <n v="2778.5600000000004"/>
    <d v="2003-11-08T00:00:00"/>
    <x v="10"/>
    <x v="0"/>
    <d v="2003-11-22T00:00:00"/>
    <s v="S24_3949"/>
    <x v="78"/>
    <x v="4"/>
    <n v="6812"/>
    <n v="29.34"/>
    <n v="68.239999999999995"/>
    <n v="45"/>
    <x v="1"/>
  </r>
  <r>
    <n v="350"/>
    <x v="79"/>
    <x v="0"/>
    <n v="1337"/>
    <n v="1401"/>
    <n v="10107"/>
    <s v="S32_1374"/>
    <n v="20"/>
    <n v="88.9"/>
    <n v="1778"/>
    <d v="2003-11-11T00:00:00"/>
    <x v="10"/>
    <x v="2"/>
    <d v="2004-09-09T00:00:00"/>
    <s v="S24_3969"/>
    <x v="79"/>
    <x v="3"/>
    <n v="2081"/>
    <n v="21.75"/>
    <n v="41.03"/>
    <n v="46"/>
    <x v="0"/>
  </r>
  <r>
    <n v="353"/>
    <x v="80"/>
    <x v="0"/>
    <n v="1337"/>
    <n v="1337"/>
    <n v="10108"/>
    <s v="S12_1099"/>
    <n v="33"/>
    <n v="165.38"/>
    <n v="5457.54"/>
    <d v="2003-11-11T00:00:00"/>
    <x v="10"/>
    <x v="0"/>
    <d v="2004-12-04T00:00:00"/>
    <s v="S24_4048"/>
    <x v="80"/>
    <x v="1"/>
    <n v="6582"/>
    <n v="69.78"/>
    <n v="118.28"/>
    <n v="46"/>
    <x v="0"/>
  </r>
  <r>
    <n v="356"/>
    <x v="81"/>
    <x v="23"/>
    <n v="1323"/>
    <n v="1621"/>
    <n v="10108"/>
    <s v="S12_3380"/>
    <n v="45"/>
    <n v="96.3"/>
    <n v="4333.5"/>
    <d v="2003-11-12T00:00:00"/>
    <x v="10"/>
    <x v="0"/>
    <d v="2003-04-20T00:00:00"/>
    <s v="S24_4258"/>
    <x v="81"/>
    <x v="3"/>
    <n v="4710"/>
    <n v="57.46"/>
    <n v="97.39"/>
    <n v="46"/>
    <x v="1"/>
  </r>
  <r>
    <n v="357"/>
    <x v="82"/>
    <x v="22"/>
    <n v="1612"/>
    <n v="1286"/>
    <n v="10108"/>
    <s v="S12_3990"/>
    <n v="39"/>
    <n v="75.81"/>
    <n v="2956.59"/>
    <d v="2003-11-12T00:00:00"/>
    <x v="10"/>
    <x v="0"/>
    <d v="2004-05-13T00:00:00"/>
    <s v="S24_4278"/>
    <x v="82"/>
    <x v="4"/>
    <n v="2756"/>
    <n v="36.229999999999997"/>
    <n v="72.45"/>
    <n v="46"/>
    <x v="0"/>
  </r>
  <r>
    <n v="361"/>
    <x v="83"/>
    <x v="5"/>
    <n v="1702"/>
    <n v="1216"/>
    <n v="10108"/>
    <s v="S12_4675"/>
    <n v="36"/>
    <n v="107.1"/>
    <n v="3855.6"/>
    <d v="2003-11-13T00:00:00"/>
    <x v="10"/>
    <x v="0"/>
    <d v="2004-03-29T00:00:00"/>
    <s v="S24_4620"/>
    <x v="83"/>
    <x v="1"/>
    <n v="7869"/>
    <n v="32.33"/>
    <n v="80.84"/>
    <n v="46"/>
    <x v="0"/>
  </r>
  <r>
    <n v="362"/>
    <x v="84"/>
    <x v="1"/>
    <n v="1216"/>
    <n v="1165"/>
    <n v="10108"/>
    <s v="S18_1889"/>
    <n v="38"/>
    <n v="67.760000000000005"/>
    <n v="2574.88"/>
    <d v="2003-11-14T00:00:00"/>
    <x v="10"/>
    <x v="0"/>
    <d v="2005-05-19T00:00:00"/>
    <s v="S32_1268"/>
    <x v="84"/>
    <x v="2"/>
    <n v="5099"/>
    <n v="53.93"/>
    <n v="96.31"/>
    <n v="46"/>
    <x v="2"/>
  </r>
  <r>
    <n v="363"/>
    <x v="85"/>
    <x v="1"/>
    <n v="1216"/>
    <n v="1612"/>
    <n v="10108"/>
    <s v="S18_3278"/>
    <n v="26"/>
    <n v="73.17"/>
    <n v="1902.42"/>
    <d v="2003-11-14T00:00:00"/>
    <x v="10"/>
    <x v="0"/>
    <d v="2003-11-19T00:00:00"/>
    <s v="S32_1374"/>
    <x v="85"/>
    <x v="0"/>
    <n v="178"/>
    <n v="66.92"/>
    <n v="99.89"/>
    <n v="46"/>
    <x v="1"/>
  </r>
  <r>
    <n v="369"/>
    <x v="86"/>
    <x v="11"/>
    <n v="1401"/>
    <n v="1401"/>
    <n v="10108"/>
    <s v="S18_3482"/>
    <n v="29"/>
    <n v="132.29"/>
    <n v="3836.41"/>
    <d v="2003-11-14T00:00:00"/>
    <x v="10"/>
    <x v="0"/>
    <d v="2004-07-10T00:00:00"/>
    <s v="S32_2206"/>
    <x v="86"/>
    <x v="0"/>
    <n v="9241"/>
    <n v="24.14"/>
    <n v="40.229999999999997"/>
    <n v="46"/>
    <x v="0"/>
  </r>
  <r>
    <n v="376"/>
    <x v="87"/>
    <x v="19"/>
    <n v="1702"/>
    <n v="1286"/>
    <n v="10108"/>
    <s v="S18_3782"/>
    <n v="43"/>
    <n v="52.84"/>
    <n v="2272.1200000000003"/>
    <d v="2003-11-15T00:00:00"/>
    <x v="10"/>
    <x v="0"/>
    <d v="2004-04-17T00:00:00"/>
    <s v="S32_2509"/>
    <x v="87"/>
    <x v="2"/>
    <n v="2874"/>
    <n v="25.98"/>
    <n v="54.11"/>
    <n v="46"/>
    <x v="0"/>
  </r>
  <r>
    <n v="379"/>
    <x v="88"/>
    <x v="1"/>
    <n v="1188"/>
    <n v="1370"/>
    <n v="10108"/>
    <s v="S18_4721"/>
    <n v="44"/>
    <n v="139.87"/>
    <n v="6154.2800000000007"/>
    <d v="2003-11-18T00:00:00"/>
    <x v="10"/>
    <x v="0"/>
    <d v="2004-01-19T00:00:00"/>
    <s v="S32_3207"/>
    <x v="88"/>
    <x v="6"/>
    <n v="8601"/>
    <n v="26.72"/>
    <n v="62.14"/>
    <n v="47"/>
    <x v="0"/>
  </r>
  <r>
    <n v="381"/>
    <x v="89"/>
    <x v="21"/>
    <n v="1401"/>
    <n v="1166"/>
    <n v="10108"/>
    <s v="S24_2360"/>
    <n v="35"/>
    <n v="64.41"/>
    <n v="2254.35"/>
    <d v="2003-11-18T00:00:00"/>
    <x v="10"/>
    <x v="0"/>
    <d v="2004-04-25T00:00:00"/>
    <s v="S32_3522"/>
    <x v="89"/>
    <x v="2"/>
    <n v="814"/>
    <n v="33.61"/>
    <n v="64.64"/>
    <n v="47"/>
    <x v="0"/>
  </r>
  <r>
    <n v="382"/>
    <x v="90"/>
    <x v="24"/>
    <n v="1401"/>
    <n v="1501"/>
    <n v="10108"/>
    <s v="S24_3371"/>
    <n v="30"/>
    <n v="60.01"/>
    <n v="1800.3"/>
    <d v="2003-11-19T00:00:00"/>
    <x v="10"/>
    <x v="0"/>
    <d v="2003-01-30T00:00:00"/>
    <s v="S32_4289"/>
    <x v="90"/>
    <x v="3"/>
    <n v="136"/>
    <n v="33.020000000000003"/>
    <n v="68.790000000000006"/>
    <n v="47"/>
    <x v="1"/>
  </r>
  <r>
    <n v="385"/>
    <x v="91"/>
    <x v="25"/>
    <n v="1621"/>
    <n v="1370"/>
    <n v="10108"/>
    <s v="S24_3856"/>
    <n v="40"/>
    <n v="132"/>
    <n v="5280"/>
    <d v="2003-11-20T00:00:00"/>
    <x v="10"/>
    <x v="0"/>
    <d v="2004-11-16T00:00:00"/>
    <s v="S32_4485"/>
    <x v="91"/>
    <x v="0"/>
    <n v="3341"/>
    <n v="56.13"/>
    <n v="102.05"/>
    <n v="47"/>
    <x v="0"/>
  </r>
  <r>
    <n v="386"/>
    <x v="92"/>
    <x v="18"/>
    <n v="1401"/>
    <n v="1611"/>
    <n v="10108"/>
    <s v="S24_4620"/>
    <n v="31"/>
    <n v="67.099999999999994"/>
    <n v="2080.1"/>
    <d v="2003-11-20T00:00:00"/>
    <x v="10"/>
    <x v="0"/>
    <d v="2005-03-10T00:00:00"/>
    <s v="S50_1341"/>
    <x v="92"/>
    <x v="3"/>
    <n v="7062"/>
    <n v="27.06"/>
    <n v="43.64"/>
    <n v="47"/>
    <x v="2"/>
  </r>
  <r>
    <n v="398"/>
    <x v="93"/>
    <x v="12"/>
    <n v="1621"/>
    <n v="1401"/>
    <n v="10108"/>
    <s v="S32_2206"/>
    <n v="27"/>
    <n v="36.21"/>
    <n v="977.67000000000007"/>
    <d v="2003-11-21T00:00:00"/>
    <x v="10"/>
    <x v="0"/>
    <d v="2003-10-27T00:00:00"/>
    <s v="S50_1392"/>
    <x v="93"/>
    <x v="2"/>
    <n v="1016"/>
    <n v="68.290000000000006"/>
    <n v="115.75"/>
    <n v="47"/>
    <x v="1"/>
  </r>
  <r>
    <n v="406"/>
    <x v="94"/>
    <x v="0"/>
    <n v="1337"/>
    <n v="1337"/>
    <n v="10108"/>
    <s v="S32_4485"/>
    <n v="31"/>
    <n v="87.76"/>
    <n v="2720.56"/>
    <d v="2003-11-25T00:00:00"/>
    <x v="10"/>
    <x v="0"/>
    <d v="2004-10-21T00:00:00"/>
    <s v="S50_1514"/>
    <x v="94"/>
    <x v="6"/>
    <n v="1645"/>
    <n v="37.49"/>
    <n v="58.58"/>
    <n v="48"/>
    <x v="0"/>
  </r>
  <r>
    <n v="409"/>
    <x v="95"/>
    <x v="5"/>
    <n v="1501"/>
    <n v="1370"/>
    <n v="10108"/>
    <s v="S50_4713"/>
    <n v="34"/>
    <n v="74.849999999999994"/>
    <n v="2544.8999999999996"/>
    <d v="2003-11-25T00:00:00"/>
    <x v="10"/>
    <x v="0"/>
    <d v="2004-11-03T00:00:00"/>
    <s v="S50_4713"/>
    <x v="95"/>
    <x v="0"/>
    <n v="600"/>
    <n v="34.17"/>
    <n v="81.36"/>
    <n v="48"/>
    <x v="0"/>
  </r>
  <r>
    <n v="412"/>
    <x v="96"/>
    <x v="22"/>
    <n v="1612"/>
    <n v="1504"/>
    <n v="10109"/>
    <s v="S18_1129"/>
    <n v="26"/>
    <n v="117.48"/>
    <n v="3054.48"/>
    <d v="2003-11-26T00:00:00"/>
    <x v="10"/>
    <x v="0"/>
    <d v="2004-12-08T00:00:00"/>
    <s v="S700_1138"/>
    <x v="96"/>
    <x v="5"/>
    <n v="1897"/>
    <n v="34"/>
    <n v="66.67"/>
    <n v="48"/>
    <x v="0"/>
  </r>
  <r>
    <n v="415"/>
    <x v="97"/>
    <x v="5"/>
    <n v="1504"/>
    <n v="1323"/>
    <n v="10109"/>
    <s v="S18_1984"/>
    <n v="38"/>
    <n v="137.97999999999999"/>
    <n v="5243.24"/>
    <d v="2003-11-26T00:00:00"/>
    <x v="10"/>
    <x v="0"/>
    <d v="2003-03-27T00:00:00"/>
    <s v="S700_1691"/>
    <x v="97"/>
    <x v="4"/>
    <n v="5841"/>
    <n v="51.15"/>
    <n v="91.34"/>
    <n v="48"/>
    <x v="1"/>
  </r>
  <r>
    <n v="424"/>
    <x v="98"/>
    <x v="1"/>
    <n v="1286"/>
    <n v="1216"/>
    <n v="10109"/>
    <s v="S18_2870"/>
    <n v="26"/>
    <n v="126.72"/>
    <n v="3294.72"/>
    <d v="2003-11-27T00:00:00"/>
    <x v="10"/>
    <x v="0"/>
    <d v="2004-10-03T00:00:00"/>
    <s v="S700_1938"/>
    <x v="98"/>
    <x v="5"/>
    <n v="737"/>
    <n v="43.3"/>
    <n v="86.61"/>
    <n v="48"/>
    <x v="0"/>
  </r>
  <r>
    <n v="443"/>
    <x v="99"/>
    <x v="5"/>
    <n v="1890"/>
    <n v="1611"/>
    <n v="10109"/>
    <s v="S18_3232"/>
    <n v="46"/>
    <n v="160.87"/>
    <n v="7400.02"/>
    <d v="2003-12-01T00:00:00"/>
    <x v="11"/>
    <x v="0"/>
    <d v="2004-03-01T00:00:00"/>
    <s v="S700_2047"/>
    <x v="99"/>
    <x v="5"/>
    <n v="3501"/>
    <n v="39.83"/>
    <n v="90.52"/>
    <n v="49"/>
    <x v="0"/>
  </r>
  <r>
    <n v="447"/>
    <x v="100"/>
    <x v="1"/>
    <n v="1323"/>
    <n v="1401"/>
    <n v="10109"/>
    <s v="S18_3685"/>
    <n v="47"/>
    <n v="125.74"/>
    <n v="5909.78"/>
    <d v="2003-12-01T00:00:00"/>
    <x v="11"/>
    <x v="0"/>
    <d v="2004-12-06T00:00:00"/>
    <s v="S700_2466"/>
    <x v="100"/>
    <x v="4"/>
    <n v="9653"/>
    <n v="68.8"/>
    <n v="99.72"/>
    <n v="49"/>
    <x v="0"/>
  </r>
  <r>
    <n v="448"/>
    <x v="101"/>
    <x v="7"/>
    <n v="1504"/>
    <n v="1611"/>
    <n v="10109"/>
    <s v="S24_2972"/>
    <n v="29"/>
    <n v="32.1"/>
    <n v="930.90000000000009"/>
    <d v="2003-12-01T00:00:00"/>
    <x v="11"/>
    <x v="0"/>
    <d v="2003-07-06T00:00:00"/>
    <s v="S700_2610"/>
    <x v="101"/>
    <x v="5"/>
    <n v="7083"/>
    <n v="33.97"/>
    <n v="72.28"/>
    <n v="49"/>
    <x v="1"/>
  </r>
  <r>
    <n v="450"/>
    <x v="102"/>
    <x v="1"/>
    <n v="1165"/>
    <n v="1216"/>
    <n v="10110"/>
    <s v="S18_1589"/>
    <n v="37"/>
    <n v="118.22"/>
    <n v="4374.1400000000003"/>
    <d v="2003-12-02T00:00:00"/>
    <x v="11"/>
    <x v="0"/>
    <d v="2004-09-21T00:00:00"/>
    <s v="S700_2824"/>
    <x v="102"/>
    <x v="1"/>
    <n v="6934"/>
    <n v="46.53"/>
    <n v="101.15"/>
    <n v="49"/>
    <x v="0"/>
  </r>
  <r>
    <n v="452"/>
    <x v="103"/>
    <x v="24"/>
    <n v="1401"/>
    <n v="1501"/>
    <n v="10110"/>
    <s v="S18_1749"/>
    <n v="42"/>
    <n v="153"/>
    <n v="6426"/>
    <d v="2003-12-02T00:00:00"/>
    <x v="11"/>
    <x v="0"/>
    <d v="2003-10-20T00:00:00"/>
    <s v="S700_2834"/>
    <x v="103"/>
    <x v="4"/>
    <n v="7106"/>
    <n v="59.33"/>
    <n v="118.65"/>
    <n v="49"/>
    <x v="1"/>
  </r>
  <r>
    <n v="455"/>
    <x v="104"/>
    <x v="1"/>
    <n v="1286"/>
    <n v="1702"/>
    <n v="10110"/>
    <s v="S18_2248"/>
    <n v="32"/>
    <n v="51.46"/>
    <n v="1646.72"/>
    <d v="2003-12-02T00:00:00"/>
    <x v="11"/>
    <x v="0"/>
    <d v="2004-06-15T00:00:00"/>
    <s v="S700_3167"/>
    <x v="104"/>
    <x v="4"/>
    <n v="551"/>
    <n v="54.4"/>
    <n v="80"/>
    <n v="49"/>
    <x v="0"/>
  </r>
  <r>
    <n v="456"/>
    <x v="105"/>
    <x v="1"/>
    <n v="1286"/>
    <n v="1504"/>
    <n v="10110"/>
    <s v="S18_2325"/>
    <n v="33"/>
    <n v="115.69"/>
    <n v="3817.77"/>
    <d v="2003-12-03T00:00:00"/>
    <x v="11"/>
    <x v="0"/>
    <d v="2003-12-18T00:00:00"/>
    <s v="S700_3505"/>
    <x v="105"/>
    <x v="5"/>
    <n v="1956"/>
    <n v="51.09"/>
    <n v="100.17"/>
    <n v="49"/>
    <x v="1"/>
  </r>
  <r>
    <n v="458"/>
    <x v="106"/>
    <x v="6"/>
    <n v="1702"/>
    <n v="1323"/>
    <n v="10110"/>
    <s v="S18_2795"/>
    <n v="31"/>
    <n v="163.69"/>
    <n v="5074.3900000000003"/>
    <d v="2003-12-05T00:00:00"/>
    <x v="11"/>
    <x v="0"/>
    <d v="2004-11-08T00:00:00"/>
    <s v="S700_3962"/>
    <x v="106"/>
    <x v="5"/>
    <n v="5088"/>
    <n v="53.63"/>
    <n v="99.31"/>
    <n v="49"/>
    <x v="0"/>
  </r>
  <r>
    <n v="459"/>
    <x v="107"/>
    <x v="5"/>
    <n v="1181"/>
    <n v="1165"/>
    <n v="10110"/>
    <s v="S18_4409"/>
    <n v="28"/>
    <n v="81.91"/>
    <n v="2293.48"/>
    <d v="2003-12-09T00:00:00"/>
    <x v="11"/>
    <x v="0"/>
    <d v="2004-08-13T00:00:00"/>
    <s v="S700_4002"/>
    <x v="107"/>
    <x v="4"/>
    <n v="8820"/>
    <n v="36.270000000000003"/>
    <n v="74.03"/>
    <n v="50"/>
    <x v="0"/>
  </r>
  <r>
    <n v="462"/>
    <x v="108"/>
    <x v="1"/>
    <n v="1216"/>
    <n v="1501"/>
    <n v="10110"/>
    <s v="S18_4933"/>
    <n v="42"/>
    <n v="62"/>
    <n v="2604"/>
    <d v="2004-01-02T00:00:00"/>
    <x v="0"/>
    <x v="0"/>
    <d v="2004-09-24T00:00:00"/>
    <s v="S72_1253"/>
    <x v="108"/>
    <x v="4"/>
    <n v="4857"/>
    <n v="32.770000000000003"/>
    <n v="49.66"/>
    <n v="1"/>
    <x v="0"/>
  </r>
  <r>
    <n v="465"/>
    <x v="109"/>
    <x v="6"/>
    <n v="1286"/>
    <n v="1188"/>
    <n v="10110"/>
    <s v="S24_1046"/>
    <n v="36"/>
    <n v="72.02"/>
    <n v="2592.7199999999998"/>
    <d v="2004-01-09T00:00:00"/>
    <x v="0"/>
    <x v="0"/>
    <d v="2003-12-04T00:00:00"/>
    <s v="S72_3212"/>
    <x v="109"/>
    <x v="5"/>
    <n v="414"/>
    <n v="33.299999999999997"/>
    <n v="54.6"/>
    <n v="2"/>
    <x v="1"/>
  </r>
  <r>
    <n v="471"/>
    <x v="110"/>
    <x v="2"/>
    <n v="1611"/>
    <n v="1612"/>
    <n v="10110"/>
    <s v="S24_1628"/>
    <n v="29"/>
    <n v="43.27"/>
    <n v="1254.8300000000002"/>
    <d v="2004-01-12T00:00:00"/>
    <x v="0"/>
    <x v="0"/>
    <d v="2003-09-05T00:00:00"/>
    <s v="S32_3207"/>
    <x v="72"/>
    <x v="5"/>
    <n v="6621"/>
    <n v="48.64"/>
    <n v="83.86"/>
    <n v="3"/>
    <x v="1"/>
  </r>
  <r>
    <n v="473"/>
    <x v="111"/>
    <x v="18"/>
    <n v="1401"/>
    <n v="1165"/>
    <n v="10110"/>
    <s v="S24_1937"/>
    <n v="20"/>
    <n v="28.88"/>
    <n v="577.6"/>
    <d v="2004-01-15T00:00:00"/>
    <x v="0"/>
    <x v="0"/>
    <d v="2005-02-06T00:00:00"/>
    <s v="S50_1392"/>
    <x v="73"/>
    <x v="4"/>
    <n v="6600"/>
    <n v="98.3"/>
    <n v="140.43"/>
    <n v="3"/>
    <x v="2"/>
  </r>
  <r>
    <n v="475"/>
    <x v="112"/>
    <x v="1"/>
    <n v="1166"/>
    <n v="1401"/>
    <n v="10110"/>
    <s v="S24_2022"/>
    <n v="39"/>
    <n v="40.770000000000003"/>
    <n v="1590.0300000000002"/>
    <d v="2004-01-16T00:00:00"/>
    <x v="0"/>
    <x v="0"/>
    <d v="2005-05-03T00:00:00"/>
    <s v="S50_1514"/>
    <x v="74"/>
    <x v="1"/>
    <n v="6812"/>
    <n v="29.34"/>
    <n v="68.239999999999995"/>
    <n v="3"/>
    <x v="2"/>
  </r>
  <r>
    <n v="477"/>
    <x v="113"/>
    <x v="5"/>
    <n v="1165"/>
    <n v="1286"/>
    <n v="10110"/>
    <s v="S24_2766"/>
    <n v="43"/>
    <n v="82.69"/>
    <n v="3555.67"/>
    <d v="2004-01-22T00:00:00"/>
    <x v="0"/>
    <x v="0"/>
    <d v="2004-06-21T00:00:00"/>
    <s v="S10_4757"/>
    <x v="75"/>
    <x v="4"/>
    <n v="2081"/>
    <n v="21.75"/>
    <n v="41.03"/>
    <n v="4"/>
    <x v="0"/>
  </r>
  <r>
    <n v="480"/>
    <x v="114"/>
    <x v="26"/>
    <n v="1216"/>
    <n v="1286"/>
    <n v="10110"/>
    <s v="S24_2887"/>
    <n v="46"/>
    <n v="112.74"/>
    <n v="5186.04"/>
    <d v="2004-01-26T00:00:00"/>
    <x v="0"/>
    <x v="0"/>
    <d v="2004-05-04T00:00:00"/>
    <s v="S12_1108"/>
    <x v="76"/>
    <x v="5"/>
    <n v="6582"/>
    <n v="69.78"/>
    <n v="118.28"/>
    <n v="5"/>
    <x v="0"/>
  </r>
  <r>
    <n v="481"/>
    <x v="115"/>
    <x v="27"/>
    <n v="1789"/>
    <n v="1702"/>
    <n v="10110"/>
    <s v="S24_3191"/>
    <n v="27"/>
    <n v="80.47"/>
    <n v="2172.69"/>
    <d v="2004-01-29T00:00:00"/>
    <x v="0"/>
    <x v="0"/>
    <d v="2003-12-09T00:00:00"/>
    <s v="S12_3891"/>
    <x v="77"/>
    <x v="0"/>
    <n v="4710"/>
    <n v="57.46"/>
    <n v="97.39"/>
    <n v="5"/>
    <x v="1"/>
  </r>
  <r>
    <n v="484"/>
    <x v="116"/>
    <x v="6"/>
    <n v="1702"/>
    <n v="1181"/>
    <n v="10110"/>
    <s v="S24_3432"/>
    <n v="37"/>
    <n v="96.37"/>
    <n v="3565.69"/>
    <d v="2004-02-02T00:00:00"/>
    <x v="1"/>
    <x v="0"/>
    <d v="2003-05-09T00:00:00"/>
    <s v="S18_3140"/>
    <x v="78"/>
    <x v="2"/>
    <n v="2756"/>
    <n v="36.229999999999997"/>
    <n v="72.45"/>
    <n v="6"/>
    <x v="1"/>
  </r>
  <r>
    <n v="486"/>
    <x v="117"/>
    <x v="1"/>
    <n v="1323"/>
    <n v="1216"/>
    <n v="10110"/>
    <s v="S24_3969"/>
    <n v="48"/>
    <n v="35.29"/>
    <n v="1693.92"/>
    <d v="2004-02-04T00:00:00"/>
    <x v="1"/>
    <x v="0"/>
    <d v="2004-12-06T00:00:00"/>
    <s v="S18_3259"/>
    <x v="79"/>
    <x v="1"/>
    <n v="7869"/>
    <n v="32.33"/>
    <n v="80.84"/>
    <n v="6"/>
    <x v="0"/>
  </r>
  <r>
    <n v="487"/>
    <x v="118"/>
    <x v="1"/>
    <n v="1165"/>
    <n v="1286"/>
    <n v="10111"/>
    <s v="S18_1342"/>
    <n v="33"/>
    <n v="87.33"/>
    <n v="2881.89"/>
    <d v="2004-02-09T00:00:00"/>
    <x v="1"/>
    <x v="0"/>
    <d v="2003-12-14T00:00:00"/>
    <s v="S18_4522"/>
    <x v="80"/>
    <x v="1"/>
    <n v="5099"/>
    <n v="53.93"/>
    <n v="96.31"/>
    <n v="7"/>
    <x v="1"/>
  </r>
  <r>
    <n v="489"/>
    <x v="119"/>
    <x v="14"/>
    <n v="1501"/>
    <n v="1702"/>
    <n v="10111"/>
    <s v="S18_1367"/>
    <n v="48"/>
    <n v="48.52"/>
    <n v="2328.96"/>
    <d v="2004-02-10T00:00:00"/>
    <x v="1"/>
    <x v="0"/>
    <d v="2005-03-02T00:00:00"/>
    <s v="S24_2011"/>
    <x v="81"/>
    <x v="4"/>
    <n v="178"/>
    <n v="66.92"/>
    <n v="99.89"/>
    <n v="7"/>
    <x v="2"/>
  </r>
  <r>
    <n v="495"/>
    <x v="120"/>
    <x v="1"/>
    <n v="1188"/>
    <n v="1216"/>
    <n v="10111"/>
    <s v="S18_2957"/>
    <n v="28"/>
    <n v="53.09"/>
    <n v="1486.52"/>
    <d v="2004-02-12T00:00:00"/>
    <x v="1"/>
    <x v="0"/>
    <d v="2003-10-18T00:00:00"/>
    <s v="S24_3151"/>
    <x v="82"/>
    <x v="6"/>
    <n v="9241"/>
    <n v="24.14"/>
    <n v="40.229999999999997"/>
    <n v="7"/>
    <x v="1"/>
  </r>
  <r>
    <n v="496"/>
    <x v="121"/>
    <x v="22"/>
    <n v="1612"/>
    <n v="1216"/>
    <n v="10111"/>
    <s v="S18_3136"/>
    <n v="43"/>
    <n v="94.25"/>
    <n v="4052.75"/>
    <d v="2004-02-18T00:00:00"/>
    <x v="1"/>
    <x v="0"/>
    <d v="2003-10-31T00:00:00"/>
    <s v="S24_3816"/>
    <x v="83"/>
    <x v="7"/>
    <n v="2874"/>
    <n v="25.98"/>
    <n v="54.11"/>
    <n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A2FD9D-8368-454B-BDDF-BC80CE81487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3:J20" firstHeaderRow="0" firstDataRow="1" firstDataCol="1"/>
  <pivotFields count="22">
    <pivotField showAll="0"/>
    <pivotField showAll="0"/>
    <pivotField showAll="0">
      <items count="29">
        <item x="2"/>
        <item x="24"/>
        <item x="21"/>
        <item x="16"/>
        <item x="8"/>
        <item x="13"/>
        <item x="0"/>
        <item x="5"/>
        <item x="17"/>
        <item x="15"/>
        <item x="27"/>
        <item x="18"/>
        <item x="12"/>
        <item x="20"/>
        <item x="22"/>
        <item x="3"/>
        <item x="10"/>
        <item x="25"/>
        <item x="4"/>
        <item x="11"/>
        <item x="26"/>
        <item x="9"/>
        <item x="23"/>
        <item x="6"/>
        <item x="7"/>
        <item x="19"/>
        <item x="14"/>
        <item x="1"/>
        <item t="default"/>
      </items>
    </pivotField>
    <pivotField showAll="0"/>
    <pivotField showAll="0"/>
    <pivotField showAll="0"/>
    <pivotField showAll="0"/>
    <pivotField dataField="1" showAll="0"/>
    <pivotField showAll="0"/>
    <pivotField dataField="1" numFmtId="164" showAll="0"/>
    <pivotField numFmtId="14" showAll="0"/>
    <pivotField axis="axisRow" showAll="0" sortType="ascending">
      <items count="13">
        <item h="1" x="0"/>
        <item h="1" x="1"/>
        <item h="1" x="2"/>
        <item h="1" x="3"/>
        <item h="1" x="4"/>
        <item h="1"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pivotField showAll="0"/>
    <pivotField showAll="0">
      <items count="111">
        <item x="62"/>
        <item x="37"/>
        <item x="68"/>
        <item x="82"/>
        <item x="38"/>
        <item x="50"/>
        <item x="26"/>
        <item x="71"/>
        <item x="34"/>
        <item x="22"/>
        <item x="43"/>
        <item x="29"/>
        <item x="59"/>
        <item x="90"/>
        <item x="32"/>
        <item x="92"/>
        <item x="49"/>
        <item x="28"/>
        <item x="35"/>
        <item x="81"/>
        <item x="31"/>
        <item x="79"/>
        <item x="19"/>
        <item x="74"/>
        <item x="18"/>
        <item x="63"/>
        <item x="52"/>
        <item x="60"/>
        <item x="76"/>
        <item x="16"/>
        <item x="51"/>
        <item x="47"/>
        <item x="23"/>
        <item x="45"/>
        <item x="66"/>
        <item x="88"/>
        <item x="1"/>
        <item x="69"/>
        <item x="87"/>
        <item x="77"/>
        <item x="14"/>
        <item x="53"/>
        <item x="54"/>
        <item x="46"/>
        <item x="67"/>
        <item x="8"/>
        <item x="61"/>
        <item x="83"/>
        <item x="94"/>
        <item x="5"/>
        <item x="64"/>
        <item x="27"/>
        <item x="20"/>
        <item x="58"/>
        <item x="11"/>
        <item x="6"/>
        <item x="72"/>
        <item x="10"/>
        <item x="15"/>
        <item x="42"/>
        <item x="12"/>
        <item x="0"/>
        <item x="55"/>
        <item x="56"/>
        <item x="13"/>
        <item x="48"/>
        <item x="73"/>
        <item x="4"/>
        <item x="91"/>
        <item x="44"/>
        <item x="84"/>
        <item x="21"/>
        <item x="102"/>
        <item x="65"/>
        <item x="86"/>
        <item x="70"/>
        <item x="40"/>
        <item x="39"/>
        <item x="80"/>
        <item x="17"/>
        <item x="24"/>
        <item x="2"/>
        <item x="89"/>
        <item x="85"/>
        <item x="57"/>
        <item x="25"/>
        <item x="33"/>
        <item x="36"/>
        <item x="7"/>
        <item x="75"/>
        <item x="9"/>
        <item x="95"/>
        <item x="3"/>
        <item x="100"/>
        <item x="97"/>
        <item x="107"/>
        <item x="103"/>
        <item x="108"/>
        <item x="41"/>
        <item x="78"/>
        <item x="93"/>
        <item x="104"/>
        <item x="99"/>
        <item x="30"/>
        <item x="109"/>
        <item x="98"/>
        <item x="106"/>
        <item x="96"/>
        <item x="105"/>
        <item x="101"/>
        <item t="default"/>
      </items>
    </pivotField>
    <pivotField showAll="0"/>
    <pivotField showAll="0"/>
    <pivotField showAll="0"/>
    <pivotField showAll="0"/>
    <pivotField showAll="0"/>
    <pivotField showAll="0">
      <items count="4">
        <item x="1"/>
        <item x="0"/>
        <item x="2"/>
        <item t="default"/>
      </items>
    </pivotField>
  </pivotFields>
  <rowFields count="1">
    <field x="11"/>
  </rowFields>
  <rowItems count="7">
    <i>
      <x v="7"/>
    </i>
    <i>
      <x v="8"/>
    </i>
    <i>
      <x v="6"/>
    </i>
    <i>
      <x v="11"/>
    </i>
    <i>
      <x v="9"/>
    </i>
    <i>
      <x v="10"/>
    </i>
    <i t="grand">
      <x/>
    </i>
  </rowItems>
  <colFields count="1">
    <field x="-2"/>
  </colFields>
  <colItems count="2">
    <i>
      <x/>
    </i>
    <i i="1">
      <x v="1"/>
    </i>
  </colItems>
  <dataFields count="2">
    <dataField name="Sum of amount" fld="9" baseField="0" baseItem="0" numFmtId="164"/>
    <dataField name="Sum of quantityOrdered" fld="7"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28DAC-90D2-4FC6-AE45-76613D23149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D24" firstHeaderRow="1" firstDataRow="1" firstDataCol="0"/>
  <pivotFields count="22">
    <pivotField showAll="0"/>
    <pivotField showAll="0"/>
    <pivotField showAll="0"/>
    <pivotField showAll="0"/>
    <pivotField showAll="0"/>
    <pivotField showAll="0"/>
    <pivotField showAll="0"/>
    <pivotField dataField="1" showAll="0"/>
    <pivotField showAll="0"/>
    <pivotField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pivotField showAll="0">
      <items count="9">
        <item x="1"/>
        <item x="0"/>
        <item x="7"/>
        <item x="4"/>
        <item x="5"/>
        <item x="6"/>
        <item x="2"/>
        <item x="3"/>
        <item t="default"/>
      </items>
    </pivotField>
    <pivotField showAll="0"/>
    <pivotField showAll="0"/>
    <pivotField showAll="0"/>
    <pivotField showAll="0"/>
    <pivotField showAll="0">
      <items count="4">
        <item x="1"/>
        <item x="0"/>
        <item x="2"/>
        <item t="default"/>
      </items>
    </pivotField>
  </pivotFields>
  <rowItems count="1">
    <i/>
  </rowItems>
  <colItems count="1">
    <i/>
  </colItems>
  <dataFields count="1">
    <dataField name="Sum of quantityOrder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DB4567-C6E6-4B96-936A-3BB57932E61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L8" firstHeaderRow="1" firstDataRow="1" firstDataCol="1"/>
  <pivotFields count="22">
    <pivotField showAll="0"/>
    <pivotField showAll="0"/>
    <pivotField showAll="0">
      <items count="29">
        <item x="2"/>
        <item x="24"/>
        <item x="21"/>
        <item x="16"/>
        <item x="8"/>
        <item x="13"/>
        <item x="0"/>
        <item x="5"/>
        <item x="17"/>
        <item x="15"/>
        <item x="27"/>
        <item x="18"/>
        <item x="12"/>
        <item x="20"/>
        <item x="22"/>
        <item x="3"/>
        <item x="10"/>
        <item x="25"/>
        <item x="4"/>
        <item x="11"/>
        <item x="26"/>
        <item x="9"/>
        <item x="23"/>
        <item x="6"/>
        <item x="7"/>
        <item x="19"/>
        <item x="14"/>
        <item x="1"/>
        <item t="default"/>
      </items>
    </pivotField>
    <pivotField showAll="0"/>
    <pivotField showAll="0"/>
    <pivotField showAll="0"/>
    <pivotField showAll="0"/>
    <pivotField showAll="0"/>
    <pivotField showAll="0"/>
    <pivotField dataField="1"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axis="axisRow" showAll="0" measureFilter="1" sortType="ascending">
      <items count="111">
        <item x="62"/>
        <item x="37"/>
        <item x="68"/>
        <item x="82"/>
        <item x="38"/>
        <item x="50"/>
        <item x="26"/>
        <item x="71"/>
        <item x="34"/>
        <item x="22"/>
        <item x="43"/>
        <item x="29"/>
        <item x="59"/>
        <item x="90"/>
        <item x="32"/>
        <item x="92"/>
        <item x="49"/>
        <item x="28"/>
        <item x="35"/>
        <item x="81"/>
        <item x="31"/>
        <item x="79"/>
        <item x="19"/>
        <item x="74"/>
        <item x="18"/>
        <item x="63"/>
        <item x="52"/>
        <item x="60"/>
        <item x="76"/>
        <item x="16"/>
        <item x="51"/>
        <item x="47"/>
        <item x="23"/>
        <item x="45"/>
        <item x="66"/>
        <item x="88"/>
        <item x="1"/>
        <item x="69"/>
        <item x="87"/>
        <item x="77"/>
        <item x="14"/>
        <item x="53"/>
        <item x="54"/>
        <item x="46"/>
        <item x="67"/>
        <item x="8"/>
        <item x="61"/>
        <item x="83"/>
        <item x="94"/>
        <item x="5"/>
        <item x="64"/>
        <item x="27"/>
        <item x="20"/>
        <item x="58"/>
        <item x="11"/>
        <item x="6"/>
        <item x="72"/>
        <item x="10"/>
        <item x="15"/>
        <item x="42"/>
        <item x="12"/>
        <item x="0"/>
        <item x="55"/>
        <item x="56"/>
        <item x="13"/>
        <item x="48"/>
        <item x="73"/>
        <item x="4"/>
        <item x="91"/>
        <item x="44"/>
        <item x="84"/>
        <item x="21"/>
        <item x="102"/>
        <item x="65"/>
        <item x="86"/>
        <item x="70"/>
        <item x="40"/>
        <item x="39"/>
        <item x="80"/>
        <item x="17"/>
        <item x="24"/>
        <item x="2"/>
        <item x="89"/>
        <item x="85"/>
        <item x="57"/>
        <item x="25"/>
        <item x="33"/>
        <item x="36"/>
        <item x="7"/>
        <item x="75"/>
        <item x="9"/>
        <item x="95"/>
        <item x="3"/>
        <item x="100"/>
        <item x="97"/>
        <item x="107"/>
        <item x="103"/>
        <item x="108"/>
        <item x="41"/>
        <item x="78"/>
        <item x="93"/>
        <item x="104"/>
        <item x="99"/>
        <item x="30"/>
        <item x="109"/>
        <item x="98"/>
        <item x="106"/>
        <item x="96"/>
        <item x="105"/>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0"/>
        <item x="2"/>
        <item t="default"/>
      </items>
    </pivotField>
  </pivotFields>
  <rowFields count="1">
    <field x="15"/>
  </rowFields>
  <rowItems count="6">
    <i>
      <x v="35"/>
    </i>
    <i>
      <x v="77"/>
    </i>
    <i>
      <x v="96"/>
    </i>
    <i>
      <x v="102"/>
    </i>
    <i>
      <x v="76"/>
    </i>
    <i t="grand">
      <x/>
    </i>
  </rowItems>
  <colItems count="1">
    <i/>
  </colItems>
  <dataFields count="1">
    <dataField name="Sum of amount" fld="9" baseField="0" baseItem="0" numFmtId="164"/>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19FFA-FDE9-4742-80F4-496020E2D20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3:F19" firstHeaderRow="1" firstDataRow="1" firstDataCol="1"/>
  <pivotFields count="22">
    <pivotField showAll="0"/>
    <pivotField showAll="0"/>
    <pivotField showAll="0"/>
    <pivotField showAll="0"/>
    <pivotField showAll="0"/>
    <pivotField showAll="0"/>
    <pivotField showAll="0"/>
    <pivotField dataField="1" showAll="0"/>
    <pivotField showAll="0"/>
    <pivotField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pivotField axis="axisRow" showAll="0" measureFilter="1">
      <items count="9">
        <item x="1"/>
        <item x="0"/>
        <item x="7"/>
        <item x="4"/>
        <item x="5"/>
        <item x="6"/>
        <item x="2"/>
        <item x="3"/>
        <item t="default"/>
      </items>
    </pivotField>
    <pivotField showAll="0"/>
    <pivotField showAll="0"/>
    <pivotField showAll="0"/>
    <pivotField showAll="0"/>
    <pivotField showAll="0">
      <items count="4">
        <item x="1"/>
        <item x="0"/>
        <item x="2"/>
        <item t="default"/>
      </items>
    </pivotField>
  </pivotFields>
  <rowFields count="1">
    <field x="16"/>
  </rowFields>
  <rowItems count="6">
    <i>
      <x/>
    </i>
    <i>
      <x v="1"/>
    </i>
    <i>
      <x v="3"/>
    </i>
    <i>
      <x v="4"/>
    </i>
    <i>
      <x v="7"/>
    </i>
    <i t="grand">
      <x/>
    </i>
  </rowItems>
  <colItems count="1">
    <i/>
  </colItems>
  <dataFields count="1">
    <dataField name="Count of quantityOrdered" fld="7" subtotal="count" showDataAs="percentOfTotal" baseField="16" baseItem="0" numFmtId="9"/>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 chart="4" format="9">
      <pivotArea type="data" outline="0" fieldPosition="0">
        <references count="2">
          <reference field="4294967294" count="1" selected="0">
            <x v="0"/>
          </reference>
          <reference field="16" count="1" selected="0">
            <x v="3"/>
          </reference>
        </references>
      </pivotArea>
    </chartFormat>
    <chartFormat chart="4" format="10">
      <pivotArea type="data" outline="0" fieldPosition="0">
        <references count="2">
          <reference field="4294967294" count="1" selected="0">
            <x v="0"/>
          </reference>
          <reference field="16" count="1" selected="0">
            <x v="7"/>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3"/>
          </reference>
        </references>
      </pivotArea>
    </chartFormat>
    <chartFormat chart="0" format="4">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4B1899-F6C9-4CEB-B3BA-61AFBB663E7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8" firstHeaderRow="1" firstDataRow="1" firstDataCol="1"/>
  <pivotFields count="22">
    <pivotField showAll="0"/>
    <pivotField showAll="0"/>
    <pivotField showAll="0"/>
    <pivotField showAll="0"/>
    <pivotField showAll="0"/>
    <pivotField showAll="0"/>
    <pivotField showAll="0"/>
    <pivotField showAll="0"/>
    <pivotField showAll="0"/>
    <pivotField dataField="1"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pivotField axis="axisRow" showAll="0" measureFilter="1" sortType="descending">
      <items count="9">
        <item x="1"/>
        <item x="0"/>
        <item x="7"/>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s>
  <rowFields count="1">
    <field x="16"/>
  </rowFields>
  <rowItems count="6">
    <i>
      <x/>
    </i>
    <i>
      <x v="7"/>
    </i>
    <i>
      <x v="3"/>
    </i>
    <i>
      <x v="4"/>
    </i>
    <i>
      <x v="1"/>
    </i>
    <i t="grand">
      <x/>
    </i>
  </rowItems>
  <colItems count="1">
    <i/>
  </colItems>
  <dataFields count="1">
    <dataField name="Sum of amount" fld="9" baseField="0" baseItem="0" numFmtId="164"/>
  </dataField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8EB71E-B791-4C69-9ED2-53EF9BF315F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8" firstHeaderRow="1" firstDataRow="1" firstDataCol="1"/>
  <pivotFields count="22">
    <pivotField showAll="0"/>
    <pivotField axis="axisRow" showAll="0" measureFilter="1" sortType="ascending">
      <items count="123">
        <item x="16"/>
        <item x="47"/>
        <item x="20"/>
        <item x="49"/>
        <item x="44"/>
        <item x="55"/>
        <item x="109"/>
        <item x="36"/>
        <item x="78"/>
        <item x="0"/>
        <item x="110"/>
        <item x="2"/>
        <item x="72"/>
        <item x="51"/>
        <item x="94"/>
        <item x="31"/>
        <item x="29"/>
        <item x="4"/>
        <item x="97"/>
        <item x="59"/>
        <item x="7"/>
        <item x="40"/>
        <item x="76"/>
        <item x="24"/>
        <item x="33"/>
        <item x="75"/>
        <item x="98"/>
        <item x="30"/>
        <item x="45"/>
        <item x="88"/>
        <item x="68"/>
        <item x="106"/>
        <item x="74"/>
        <item x="91"/>
        <item x="22"/>
        <item x="12"/>
        <item x="63"/>
        <item x="120"/>
        <item x="119"/>
        <item x="69"/>
        <item x="14"/>
        <item x="39"/>
        <item x="10"/>
        <item x="96"/>
        <item x="99"/>
        <item x="54"/>
        <item x="111"/>
        <item x="108"/>
        <item x="25"/>
        <item x="100"/>
        <item x="84"/>
        <item x="46"/>
        <item x="82"/>
        <item x="18"/>
        <item x="6"/>
        <item x="42"/>
        <item x="19"/>
        <item x="116"/>
        <item x="121"/>
        <item x="38"/>
        <item x="83"/>
        <item x="114"/>
        <item x="23"/>
        <item x="3"/>
        <item x="9"/>
        <item x="86"/>
        <item x="92"/>
        <item x="50"/>
        <item x="79"/>
        <item x="58"/>
        <item x="77"/>
        <item x="48"/>
        <item x="105"/>
        <item x="103"/>
        <item x="37"/>
        <item x="66"/>
        <item x="67"/>
        <item x="5"/>
        <item x="8"/>
        <item x="113"/>
        <item x="117"/>
        <item x="15"/>
        <item x="41"/>
        <item x="61"/>
        <item x="85"/>
        <item x="34"/>
        <item x="26"/>
        <item x="64"/>
        <item x="65"/>
        <item x="21"/>
        <item x="87"/>
        <item x="43"/>
        <item x="115"/>
        <item x="80"/>
        <item x="56"/>
        <item x="53"/>
        <item x="89"/>
        <item x="90"/>
        <item x="81"/>
        <item x="13"/>
        <item x="101"/>
        <item x="62"/>
        <item x="118"/>
        <item x="1"/>
        <item x="57"/>
        <item x="95"/>
        <item x="70"/>
        <item x="73"/>
        <item x="104"/>
        <item x="17"/>
        <item x="71"/>
        <item x="102"/>
        <item x="93"/>
        <item x="52"/>
        <item x="28"/>
        <item x="35"/>
        <item x="32"/>
        <item x="60"/>
        <item x="27"/>
        <item x="11"/>
        <item x="107"/>
        <item x="112"/>
        <item t="default"/>
      </items>
      <autoSortScope>
        <pivotArea dataOnly="0" outline="0" fieldPosition="0">
          <references count="1">
            <reference field="4294967294" count="1" selected="0">
              <x v="0"/>
            </reference>
          </references>
        </pivotArea>
      </autoSortScope>
    </pivotField>
    <pivotField showAll="0">
      <items count="29">
        <item x="2"/>
        <item x="24"/>
        <item x="21"/>
        <item x="16"/>
        <item x="8"/>
        <item x="13"/>
        <item x="0"/>
        <item x="5"/>
        <item x="17"/>
        <item x="15"/>
        <item x="27"/>
        <item x="18"/>
        <item x="12"/>
        <item x="20"/>
        <item x="22"/>
        <item x="3"/>
        <item x="10"/>
        <item x="25"/>
        <item x="4"/>
        <item x="11"/>
        <item x="26"/>
        <item x="9"/>
        <item x="23"/>
        <item x="6"/>
        <item x="7"/>
        <item x="19"/>
        <item x="14"/>
        <item x="1"/>
        <item t="default"/>
      </items>
    </pivotField>
    <pivotField showAll="0"/>
    <pivotField showAll="0"/>
    <pivotField showAll="0"/>
    <pivotField showAll="0"/>
    <pivotField showAll="0"/>
    <pivotField showAll="0"/>
    <pivotField dataField="1"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measureFilter="1" sortType="ascending">
      <items count="111">
        <item x="62"/>
        <item x="37"/>
        <item x="68"/>
        <item x="82"/>
        <item x="38"/>
        <item x="50"/>
        <item x="26"/>
        <item x="71"/>
        <item x="34"/>
        <item x="22"/>
        <item x="43"/>
        <item x="29"/>
        <item x="59"/>
        <item x="90"/>
        <item x="32"/>
        <item x="92"/>
        <item x="49"/>
        <item x="28"/>
        <item x="35"/>
        <item x="81"/>
        <item x="31"/>
        <item x="79"/>
        <item x="19"/>
        <item x="74"/>
        <item x="18"/>
        <item x="63"/>
        <item x="52"/>
        <item x="60"/>
        <item x="76"/>
        <item x="16"/>
        <item x="51"/>
        <item x="47"/>
        <item x="23"/>
        <item x="45"/>
        <item x="66"/>
        <item x="88"/>
        <item x="1"/>
        <item x="69"/>
        <item x="87"/>
        <item x="77"/>
        <item x="14"/>
        <item x="53"/>
        <item x="54"/>
        <item x="46"/>
        <item x="67"/>
        <item x="8"/>
        <item x="61"/>
        <item x="83"/>
        <item x="94"/>
        <item x="5"/>
        <item x="64"/>
        <item x="27"/>
        <item x="20"/>
        <item x="58"/>
        <item x="11"/>
        <item x="6"/>
        <item x="72"/>
        <item x="10"/>
        <item x="15"/>
        <item x="42"/>
        <item x="12"/>
        <item x="0"/>
        <item x="55"/>
        <item x="56"/>
        <item x="13"/>
        <item x="48"/>
        <item x="73"/>
        <item x="4"/>
        <item x="91"/>
        <item x="44"/>
        <item x="84"/>
        <item x="21"/>
        <item x="102"/>
        <item x="65"/>
        <item x="86"/>
        <item x="70"/>
        <item x="40"/>
        <item x="39"/>
        <item x="80"/>
        <item x="17"/>
        <item x="24"/>
        <item x="2"/>
        <item x="89"/>
        <item x="85"/>
        <item x="57"/>
        <item x="25"/>
        <item x="33"/>
        <item x="36"/>
        <item x="7"/>
        <item x="75"/>
        <item x="9"/>
        <item x="95"/>
        <item x="3"/>
        <item x="100"/>
        <item x="97"/>
        <item x="107"/>
        <item x="103"/>
        <item x="108"/>
        <item x="41"/>
        <item x="78"/>
        <item x="93"/>
        <item x="104"/>
        <item x="99"/>
        <item x="30"/>
        <item x="109"/>
        <item x="98"/>
        <item x="106"/>
        <item x="96"/>
        <item x="105"/>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0"/>
        <item x="2"/>
        <item t="default"/>
      </items>
    </pivotField>
  </pivotFields>
  <rowFields count="1">
    <field x="1"/>
  </rowFields>
  <rowItems count="6">
    <i>
      <x v="29"/>
    </i>
    <i>
      <x v="41"/>
    </i>
    <i>
      <x v="73"/>
    </i>
    <i>
      <x v="44"/>
    </i>
    <i>
      <x v="21"/>
    </i>
    <i t="grand">
      <x/>
    </i>
  </rowItems>
  <colItems count="1">
    <i/>
  </colItems>
  <dataFields count="1">
    <dataField name="Sum of 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7" filterVal="7"/>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8DF20B-6846-49AA-B4B2-43FD442B142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C24" firstHeaderRow="1" firstDataRow="1" firstDataCol="0"/>
  <pivotFields count="22">
    <pivotField showAll="0"/>
    <pivotField showAll="0"/>
    <pivotField showAll="0"/>
    <pivotField showAll="0"/>
    <pivotField showAll="0"/>
    <pivotField showAll="0"/>
    <pivotField showAll="0"/>
    <pivotField showAll="0"/>
    <pivotField showAll="0"/>
    <pivotField dataField="1"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pivotField showAll="0">
      <items count="9">
        <item x="1"/>
        <item x="0"/>
        <item x="7"/>
        <item x="4"/>
        <item x="5"/>
        <item x="6"/>
        <item x="2"/>
        <item x="3"/>
        <item t="default"/>
      </items>
    </pivotField>
    <pivotField showAll="0"/>
    <pivotField showAll="0"/>
    <pivotField showAll="0"/>
    <pivotField showAll="0"/>
    <pivotField showAll="0">
      <items count="4">
        <item x="1"/>
        <item x="0"/>
        <item x="2"/>
        <item t="default"/>
      </items>
    </pivotField>
  </pivotFields>
  <rowItems count="1">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7A2627-0034-46E2-A1CE-922BAEA641F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C18" firstHeaderRow="1" firstDataRow="1" firstDataCol="1"/>
  <pivotFields count="22">
    <pivotField showAll="0"/>
    <pivotField showAll="0"/>
    <pivotField axis="axisRow" showAll="0" measureFilter="1">
      <items count="29">
        <item x="2"/>
        <item x="24"/>
        <item x="21"/>
        <item x="16"/>
        <item x="8"/>
        <item x="13"/>
        <item x="0"/>
        <item x="5"/>
        <item x="17"/>
        <item x="15"/>
        <item x="27"/>
        <item x="18"/>
        <item x="12"/>
        <item x="20"/>
        <item x="22"/>
        <item x="3"/>
        <item x="10"/>
        <item x="25"/>
        <item x="4"/>
        <item x="11"/>
        <item x="26"/>
        <item x="9"/>
        <item x="23"/>
        <item x="6"/>
        <item x="7"/>
        <item x="19"/>
        <item x="14"/>
        <item x="1"/>
        <item t="default"/>
      </items>
    </pivotField>
    <pivotField showAll="0"/>
    <pivotField showAll="0"/>
    <pivotField showAll="0"/>
    <pivotField showAll="0"/>
    <pivotField dataField="1" showAll="0"/>
    <pivotField showAll="0"/>
    <pivotField numFmtId="164" showAll="0"/>
    <pivotField numFmtId="14" showAll="0"/>
    <pivotField showAll="0">
      <items count="13">
        <item h="1" x="0"/>
        <item h="1" x="1"/>
        <item h="1" x="2"/>
        <item h="1" x="3"/>
        <item h="1" x="4"/>
        <item h="1" x="5"/>
        <item x="6"/>
        <item x="7"/>
        <item x="8"/>
        <item x="9"/>
        <item x="10"/>
        <item x="11"/>
        <item t="default"/>
      </items>
    </pivotField>
    <pivotField showAll="0">
      <items count="4">
        <item x="2"/>
        <item x="1"/>
        <item x="0"/>
        <item t="default"/>
      </items>
    </pivotField>
    <pivotField numFmtId="14" showAll="0"/>
    <pivotField showAll="0"/>
    <pivotField showAll="0">
      <items count="111">
        <item x="62"/>
        <item x="37"/>
        <item x="68"/>
        <item x="82"/>
        <item x="38"/>
        <item x="50"/>
        <item x="26"/>
        <item x="71"/>
        <item x="34"/>
        <item x="22"/>
        <item x="43"/>
        <item x="29"/>
        <item x="59"/>
        <item x="90"/>
        <item x="32"/>
        <item x="92"/>
        <item x="49"/>
        <item x="28"/>
        <item x="35"/>
        <item x="81"/>
        <item x="31"/>
        <item x="79"/>
        <item x="19"/>
        <item x="74"/>
        <item x="18"/>
        <item x="63"/>
        <item x="52"/>
        <item x="60"/>
        <item x="76"/>
        <item x="16"/>
        <item x="51"/>
        <item x="47"/>
        <item x="23"/>
        <item x="45"/>
        <item x="66"/>
        <item x="88"/>
        <item x="1"/>
        <item x="69"/>
        <item x="87"/>
        <item x="77"/>
        <item x="14"/>
        <item x="53"/>
        <item x="54"/>
        <item x="46"/>
        <item x="67"/>
        <item x="8"/>
        <item x="61"/>
        <item x="83"/>
        <item x="94"/>
        <item x="5"/>
        <item x="64"/>
        <item x="27"/>
        <item x="20"/>
        <item x="58"/>
        <item x="11"/>
        <item x="6"/>
        <item x="72"/>
        <item x="10"/>
        <item x="15"/>
        <item x="42"/>
        <item x="12"/>
        <item x="0"/>
        <item x="55"/>
        <item x="56"/>
        <item x="13"/>
        <item x="48"/>
        <item x="73"/>
        <item x="4"/>
        <item x="91"/>
        <item x="44"/>
        <item x="84"/>
        <item x="21"/>
        <item x="102"/>
        <item x="65"/>
        <item x="86"/>
        <item x="70"/>
        <item x="40"/>
        <item x="39"/>
        <item x="80"/>
        <item x="17"/>
        <item x="24"/>
        <item x="2"/>
        <item x="89"/>
        <item x="85"/>
        <item x="57"/>
        <item x="25"/>
        <item x="33"/>
        <item x="36"/>
        <item x="7"/>
        <item x="75"/>
        <item x="9"/>
        <item x="95"/>
        <item x="3"/>
        <item x="100"/>
        <item x="97"/>
        <item x="107"/>
        <item x="103"/>
        <item x="108"/>
        <item x="41"/>
        <item x="78"/>
        <item x="93"/>
        <item x="104"/>
        <item x="99"/>
        <item x="30"/>
        <item x="109"/>
        <item x="98"/>
        <item x="106"/>
        <item x="96"/>
        <item x="105"/>
        <item x="101"/>
        <item t="default"/>
      </items>
    </pivotField>
    <pivotField showAll="0"/>
    <pivotField showAll="0"/>
    <pivotField showAll="0"/>
    <pivotField showAll="0"/>
    <pivotField showAll="0"/>
    <pivotField showAll="0">
      <items count="4">
        <item x="1"/>
        <item x="0"/>
        <item x="2"/>
        <item t="default"/>
      </items>
    </pivotField>
  </pivotFields>
  <rowFields count="1">
    <field x="2"/>
  </rowFields>
  <rowItems count="5">
    <i>
      <x v="6"/>
    </i>
    <i>
      <x v="7"/>
    </i>
    <i>
      <x v="23"/>
    </i>
    <i>
      <x v="27"/>
    </i>
    <i t="grand">
      <x/>
    </i>
  </rowItems>
  <colItems count="1">
    <i/>
  </colItems>
  <dataFields count="1">
    <dataField name="Sum of quantityOrdered" fld="7"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6"/>
          </reference>
        </references>
      </pivotArea>
    </chartFormat>
    <chartFormat chart="4" format="8">
      <pivotArea type="data" outline="0" fieldPosition="0">
        <references count="2">
          <reference field="4294967294" count="1" selected="0">
            <x v="0"/>
          </reference>
          <reference field="2" count="1" selected="0">
            <x v="7"/>
          </reference>
        </references>
      </pivotArea>
    </chartFormat>
    <chartFormat chart="4" format="9">
      <pivotArea type="data" outline="0" fieldPosition="0">
        <references count="2">
          <reference field="4294967294" count="1" selected="0">
            <x v="0"/>
          </reference>
          <reference field="2" count="1" selected="0">
            <x v="23"/>
          </reference>
        </references>
      </pivotArea>
    </chartFormat>
    <chartFormat chart="4" format="10">
      <pivotArea type="data" outline="0" fieldPosition="0">
        <references count="2">
          <reference field="4294967294" count="1" selected="0">
            <x v="0"/>
          </reference>
          <reference field="2" count="1" selected="0">
            <x v="27"/>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7"/>
          </reference>
        </references>
      </pivotArea>
    </chartFormat>
    <chartFormat chart="0" format="3">
      <pivotArea type="data" outline="0" fieldPosition="0">
        <references count="2">
          <reference field="4294967294" count="1" selected="0">
            <x v="0"/>
          </reference>
          <reference field="2" count="1" selected="0">
            <x v="23"/>
          </reference>
        </references>
      </pivotArea>
    </chartFormat>
    <chartFormat chart="0" format="4">
      <pivotArea type="data" outline="0" fieldPosition="0">
        <references count="2">
          <reference field="4294967294" count="1" selected="0">
            <x v="0"/>
          </reference>
          <reference field="2" count="1" selected="0">
            <x v="27"/>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F95B06-ED5C-490A-82E4-14650A4991B6}" sourceName="year">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67122885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305BDA5-2614-4C8A-955A-9F751594D074}" sourceName="status">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s>
  <data>
    <tabular pivotCacheId="6712288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971F1C1-6A8C-45A1-99E1-C1837ED39FB1}" sourceName="months">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s>
  <data>
    <tabular pivotCacheId="671228856">
      <items count="12">
        <i x="0"/>
        <i x="1"/>
        <i x="2"/>
        <i x="3"/>
        <i x="4"/>
        <i x="5"/>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4EB5F24-662F-436D-BD04-33C660BBDF8C}" cache="Slicer_year" caption="year" style="SlicerStyleDark1" rowHeight="234950"/>
  <slicer name="status 1" xr10:uid="{5FC91430-6307-459D-A2DD-7717D7488633}" cache="Slicer_status" caption="status" style="SlicerStyleDark1" rowHeight="234950"/>
  <slicer name="months 1" xr10:uid="{EAC6377F-8C6D-464E-83BE-06E3D9E91567}" cache="Slicer_months" caption="months" startItem="6"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E727-C6EB-4B9E-BFC3-C42C52F3B5F4}">
  <dimension ref="A1:W123"/>
  <sheetViews>
    <sheetView tabSelected="1" workbookViewId="0">
      <selection activeCell="C10" sqref="C10"/>
    </sheetView>
  </sheetViews>
  <sheetFormatPr defaultRowHeight="14.4" x14ac:dyDescent="0.3"/>
  <cols>
    <col min="1" max="1" width="17.6640625" customWidth="1"/>
    <col min="2" max="2" width="30.21875" bestFit="1" customWidth="1"/>
    <col min="3" max="3" width="9.44140625" customWidth="1"/>
    <col min="4" max="4" width="25.33203125" customWidth="1"/>
    <col min="5" max="5" width="18.109375" customWidth="1"/>
    <col min="6" max="6" width="14.33203125" customWidth="1"/>
    <col min="7" max="7" width="13.88671875" customWidth="1"/>
    <col min="8" max="8" width="16.88671875" customWidth="1"/>
    <col min="9" max="9" width="11" customWidth="1"/>
    <col min="10" max="10" width="10.6640625" style="1" customWidth="1"/>
    <col min="11" max="11" width="11.33203125" customWidth="1"/>
    <col min="12" max="12" width="10.33203125" customWidth="1"/>
    <col min="14" max="14" width="14.33203125" customWidth="1"/>
    <col min="15" max="15" width="14.88671875" customWidth="1"/>
    <col min="16" max="16" width="37" bestFit="1" customWidth="1"/>
    <col min="17" max="17" width="14.88671875" bestFit="1" customWidth="1"/>
    <col min="18" max="18" width="18.5546875" customWidth="1"/>
    <col min="20" max="20" width="10.109375" customWidth="1"/>
    <col min="21" max="22" width="10.44140625" customWidth="1"/>
    <col min="23" max="23" width="10.21875" customWidth="1"/>
  </cols>
  <sheetData>
    <row r="1" spans="1:23" x14ac:dyDescent="0.3">
      <c r="A1" s="30" t="s">
        <v>0</v>
      </c>
      <c r="B1" s="30" t="s">
        <v>1</v>
      </c>
      <c r="C1" s="30" t="s">
        <v>123</v>
      </c>
      <c r="D1" s="30" t="s">
        <v>152</v>
      </c>
      <c r="E1" s="30" t="s">
        <v>153</v>
      </c>
      <c r="F1" s="30" t="s">
        <v>154</v>
      </c>
      <c r="G1" s="30" t="s">
        <v>155</v>
      </c>
      <c r="H1" s="30" t="s">
        <v>156</v>
      </c>
      <c r="I1" s="30" t="s">
        <v>157</v>
      </c>
      <c r="J1" s="31" t="s">
        <v>267</v>
      </c>
      <c r="K1" s="30" t="s">
        <v>268</v>
      </c>
      <c r="L1" s="30" t="s">
        <v>396</v>
      </c>
      <c r="M1" s="30" t="s">
        <v>269</v>
      </c>
      <c r="N1" s="30" t="s">
        <v>273</v>
      </c>
      <c r="O1" s="30" t="s">
        <v>407</v>
      </c>
      <c r="P1" s="30" t="s">
        <v>274</v>
      </c>
      <c r="Q1" s="30" t="s">
        <v>275</v>
      </c>
      <c r="R1" s="30" t="s">
        <v>394</v>
      </c>
      <c r="S1" s="30" t="s">
        <v>411</v>
      </c>
      <c r="T1" s="30" t="s">
        <v>412</v>
      </c>
      <c r="U1" s="21"/>
      <c r="V1" s="21"/>
      <c r="W1" s="9"/>
    </row>
    <row r="2" spans="1:23" x14ac:dyDescent="0.3">
      <c r="A2" s="27">
        <v>103</v>
      </c>
      <c r="B2" s="28" t="s">
        <v>2</v>
      </c>
      <c r="C2" s="28" t="s">
        <v>124</v>
      </c>
      <c r="D2" s="28">
        <v>1370</v>
      </c>
      <c r="E2" s="28">
        <v>1002</v>
      </c>
      <c r="F2" s="28">
        <v>10100</v>
      </c>
      <c r="G2" s="28" t="s">
        <v>158</v>
      </c>
      <c r="H2" s="28">
        <v>30</v>
      </c>
      <c r="I2" s="32">
        <v>136</v>
      </c>
      <c r="J2" s="36">
        <f>H2*I2</f>
        <v>4080</v>
      </c>
      <c r="K2" s="29">
        <v>37627</v>
      </c>
      <c r="L2" s="29" t="str">
        <f>TEXT(K2,"mmmm")</f>
        <v>January</v>
      </c>
      <c r="M2" s="28" t="s">
        <v>270</v>
      </c>
      <c r="N2" s="29">
        <v>38279</v>
      </c>
      <c r="O2" s="28" t="s">
        <v>230</v>
      </c>
      <c r="P2" s="28" t="s">
        <v>276</v>
      </c>
      <c r="Q2" s="28" t="s">
        <v>277</v>
      </c>
      <c r="R2" s="28">
        <v>7933</v>
      </c>
      <c r="S2" s="28">
        <f>YEAR(Sheet1!$N2)</f>
        <v>2004</v>
      </c>
      <c r="T2" s="28">
        <f>WEEKNUM(K2)</f>
        <v>2</v>
      </c>
      <c r="U2" s="25"/>
      <c r="V2" s="22"/>
    </row>
    <row r="3" spans="1:23" x14ac:dyDescent="0.3">
      <c r="A3" s="13">
        <v>112</v>
      </c>
      <c r="B3" s="14" t="s">
        <v>3</v>
      </c>
      <c r="C3" s="14" t="s">
        <v>125</v>
      </c>
      <c r="D3" s="14">
        <v>1166</v>
      </c>
      <c r="E3" s="14">
        <v>1056</v>
      </c>
      <c r="F3" s="14">
        <v>10100</v>
      </c>
      <c r="G3" s="14" t="s">
        <v>159</v>
      </c>
      <c r="H3" s="14">
        <v>50</v>
      </c>
      <c r="I3" s="33">
        <v>55.09</v>
      </c>
      <c r="J3" s="37">
        <f t="shared" ref="J3:J66" si="0">H3*I3</f>
        <v>2754.5</v>
      </c>
      <c r="K3" s="15">
        <v>37630</v>
      </c>
      <c r="L3" s="15" t="str">
        <f t="shared" ref="L3:L66" si="1">TEXT(K3,"mmmm")</f>
        <v>January</v>
      </c>
      <c r="M3" s="14" t="s">
        <v>270</v>
      </c>
      <c r="N3" s="15">
        <v>37777</v>
      </c>
      <c r="O3" s="14" t="s">
        <v>168</v>
      </c>
      <c r="P3" s="14" t="s">
        <v>278</v>
      </c>
      <c r="Q3" s="14" t="s">
        <v>279</v>
      </c>
      <c r="R3" s="14">
        <v>7305</v>
      </c>
      <c r="S3" s="14">
        <f>YEAR(Sheet1!$N3)</f>
        <v>2003</v>
      </c>
      <c r="T3" s="14">
        <f>WEEKNUM(K3)</f>
        <v>2</v>
      </c>
      <c r="U3" s="26"/>
      <c r="V3" s="23"/>
    </row>
    <row r="4" spans="1:23" x14ac:dyDescent="0.3">
      <c r="A4" s="10">
        <v>114</v>
      </c>
      <c r="B4" s="11" t="s">
        <v>4</v>
      </c>
      <c r="C4" s="11" t="s">
        <v>126</v>
      </c>
      <c r="D4" s="11">
        <v>1611</v>
      </c>
      <c r="E4" s="11">
        <v>1076</v>
      </c>
      <c r="F4" s="11">
        <v>10100</v>
      </c>
      <c r="G4" s="11" t="s">
        <v>160</v>
      </c>
      <c r="H4" s="11">
        <v>22</v>
      </c>
      <c r="I4" s="34">
        <v>75.459999999999994</v>
      </c>
      <c r="J4" s="38">
        <f t="shared" si="0"/>
        <v>1660.12</v>
      </c>
      <c r="K4" s="12">
        <v>37631</v>
      </c>
      <c r="L4" s="12" t="str">
        <f t="shared" si="1"/>
        <v>January</v>
      </c>
      <c r="M4" s="11" t="s">
        <v>270</v>
      </c>
      <c r="N4" s="12">
        <v>38339</v>
      </c>
      <c r="O4" s="11" t="s">
        <v>231</v>
      </c>
      <c r="P4" s="11" t="s">
        <v>280</v>
      </c>
      <c r="Q4" s="11" t="s">
        <v>277</v>
      </c>
      <c r="R4" s="11">
        <v>6625</v>
      </c>
      <c r="S4" s="11">
        <f>YEAR(Sheet1!$N4)</f>
        <v>2004</v>
      </c>
      <c r="T4" s="11">
        <f>WEEKNUM(K4)</f>
        <v>2</v>
      </c>
      <c r="U4" s="25"/>
      <c r="V4" s="22"/>
    </row>
    <row r="5" spans="1:23" x14ac:dyDescent="0.3">
      <c r="A5" s="13">
        <v>119</v>
      </c>
      <c r="B5" s="14" t="s">
        <v>5</v>
      </c>
      <c r="C5" s="14" t="s">
        <v>124</v>
      </c>
      <c r="D5" s="14">
        <v>1370</v>
      </c>
      <c r="E5" s="14">
        <v>1088</v>
      </c>
      <c r="F5" s="14">
        <v>10100</v>
      </c>
      <c r="G5" s="14" t="s">
        <v>161</v>
      </c>
      <c r="H5" s="14">
        <v>49</v>
      </c>
      <c r="I5" s="33">
        <v>35.29</v>
      </c>
      <c r="J5" s="37">
        <f t="shared" si="0"/>
        <v>1729.21</v>
      </c>
      <c r="K5" s="15">
        <v>37650</v>
      </c>
      <c r="L5" s="15" t="str">
        <f t="shared" si="1"/>
        <v>January</v>
      </c>
      <c r="M5" s="14" t="s">
        <v>270</v>
      </c>
      <c r="N5" s="15">
        <v>38338</v>
      </c>
      <c r="O5" s="14" t="s">
        <v>232</v>
      </c>
      <c r="P5" s="14" t="s">
        <v>281</v>
      </c>
      <c r="Q5" s="14" t="s">
        <v>277</v>
      </c>
      <c r="R5" s="14">
        <v>5582</v>
      </c>
      <c r="S5" s="14">
        <f>YEAR(Sheet1!$N5)</f>
        <v>2004</v>
      </c>
      <c r="T5" s="14">
        <f>WEEKNUM(K5)</f>
        <v>5</v>
      </c>
      <c r="U5" s="26"/>
      <c r="V5" s="23"/>
    </row>
    <row r="6" spans="1:23" x14ac:dyDescent="0.3">
      <c r="A6" s="10">
        <v>121</v>
      </c>
      <c r="B6" s="11" t="s">
        <v>6</v>
      </c>
      <c r="C6" s="11" t="s">
        <v>127</v>
      </c>
      <c r="D6" s="11">
        <v>1504</v>
      </c>
      <c r="E6" s="11">
        <v>1102</v>
      </c>
      <c r="F6" s="11">
        <v>10101</v>
      </c>
      <c r="G6" s="11" t="s">
        <v>162</v>
      </c>
      <c r="H6" s="11">
        <v>25</v>
      </c>
      <c r="I6" s="34">
        <v>108.06</v>
      </c>
      <c r="J6" s="38">
        <f t="shared" si="0"/>
        <v>2701.5</v>
      </c>
      <c r="K6" s="12">
        <v>37652</v>
      </c>
      <c r="L6" s="12" t="str">
        <f t="shared" si="1"/>
        <v>January</v>
      </c>
      <c r="M6" s="11" t="s">
        <v>270</v>
      </c>
      <c r="N6" s="12">
        <v>37778</v>
      </c>
      <c r="O6" s="11" t="s">
        <v>197</v>
      </c>
      <c r="P6" s="11" t="s">
        <v>282</v>
      </c>
      <c r="Q6" s="11" t="s">
        <v>279</v>
      </c>
      <c r="R6" s="11">
        <v>3252</v>
      </c>
      <c r="S6" s="11">
        <f>YEAR(Sheet1!$N6)</f>
        <v>2003</v>
      </c>
      <c r="T6" s="11">
        <f>WEEKNUM(K6)</f>
        <v>5</v>
      </c>
      <c r="U6" s="25"/>
      <c r="V6" s="22"/>
    </row>
    <row r="7" spans="1:23" x14ac:dyDescent="0.3">
      <c r="A7" s="13">
        <v>124</v>
      </c>
      <c r="B7" s="14" t="s">
        <v>7</v>
      </c>
      <c r="C7" s="14" t="s">
        <v>125</v>
      </c>
      <c r="D7" s="14">
        <v>1165</v>
      </c>
      <c r="E7" s="14">
        <v>1143</v>
      </c>
      <c r="F7" s="14">
        <v>10101</v>
      </c>
      <c r="G7" s="14" t="s">
        <v>163</v>
      </c>
      <c r="H7" s="14">
        <v>26</v>
      </c>
      <c r="I7" s="33">
        <v>167.06</v>
      </c>
      <c r="J7" s="37">
        <f t="shared" si="0"/>
        <v>4343.5600000000004</v>
      </c>
      <c r="K7" s="15">
        <v>37663</v>
      </c>
      <c r="L7" s="15" t="str">
        <f t="shared" si="1"/>
        <v>February</v>
      </c>
      <c r="M7" s="14" t="s">
        <v>270</v>
      </c>
      <c r="N7" s="15">
        <v>38219</v>
      </c>
      <c r="O7" s="14" t="s">
        <v>169</v>
      </c>
      <c r="P7" s="14" t="s">
        <v>283</v>
      </c>
      <c r="Q7" s="14" t="s">
        <v>279</v>
      </c>
      <c r="R7" s="14">
        <v>6791</v>
      </c>
      <c r="S7" s="14">
        <f>YEAR(Sheet1!$N7)</f>
        <v>2004</v>
      </c>
      <c r="T7" s="14">
        <f>WEEKNUM(K7)</f>
        <v>7</v>
      </c>
      <c r="U7" s="26"/>
      <c r="V7" s="23"/>
    </row>
    <row r="8" spans="1:23" x14ac:dyDescent="0.3">
      <c r="A8" s="10">
        <v>125</v>
      </c>
      <c r="B8" s="11" t="s">
        <v>8</v>
      </c>
      <c r="C8" s="11" t="s">
        <v>128</v>
      </c>
      <c r="D8" s="11">
        <v>1188</v>
      </c>
      <c r="E8" s="11">
        <v>1165</v>
      </c>
      <c r="F8" s="11">
        <v>10101</v>
      </c>
      <c r="G8" s="11" t="s">
        <v>164</v>
      </c>
      <c r="H8" s="11">
        <v>45</v>
      </c>
      <c r="I8" s="34">
        <v>32.53</v>
      </c>
      <c r="J8" s="38">
        <f t="shared" si="0"/>
        <v>1463.8500000000001</v>
      </c>
      <c r="K8" s="12">
        <v>37669</v>
      </c>
      <c r="L8" s="12" t="str">
        <f t="shared" si="1"/>
        <v>February</v>
      </c>
      <c r="M8" s="11" t="s">
        <v>270</v>
      </c>
      <c r="N8" s="12">
        <v>37761</v>
      </c>
      <c r="O8" s="11" t="s">
        <v>238</v>
      </c>
      <c r="P8" s="11" t="s">
        <v>284</v>
      </c>
      <c r="Q8" s="11" t="s">
        <v>279</v>
      </c>
      <c r="R8" s="11">
        <v>68</v>
      </c>
      <c r="S8" s="11">
        <f>YEAR(Sheet1!$N8)</f>
        <v>2003</v>
      </c>
      <c r="T8" s="11">
        <f>WEEKNUM(K8)</f>
        <v>8</v>
      </c>
      <c r="U8" s="25"/>
      <c r="V8" s="22"/>
    </row>
    <row r="9" spans="1:23" x14ac:dyDescent="0.3">
      <c r="A9" s="13">
        <v>128</v>
      </c>
      <c r="B9" s="14" t="s">
        <v>9</v>
      </c>
      <c r="C9" s="14" t="s">
        <v>129</v>
      </c>
      <c r="D9" s="14">
        <v>1504</v>
      </c>
      <c r="E9" s="14">
        <v>1166</v>
      </c>
      <c r="F9" s="14">
        <v>10101</v>
      </c>
      <c r="G9" s="14" t="s">
        <v>165</v>
      </c>
      <c r="H9" s="14">
        <v>46</v>
      </c>
      <c r="I9" s="33">
        <v>44.35</v>
      </c>
      <c r="J9" s="37">
        <f t="shared" si="0"/>
        <v>2040.1000000000001</v>
      </c>
      <c r="K9" s="15">
        <v>37676</v>
      </c>
      <c r="L9" s="15" t="str">
        <f t="shared" si="1"/>
        <v>February</v>
      </c>
      <c r="M9" s="14" t="s">
        <v>270</v>
      </c>
      <c r="N9" s="15">
        <v>38336</v>
      </c>
      <c r="O9" s="14" t="s">
        <v>198</v>
      </c>
      <c r="P9" s="14" t="s">
        <v>285</v>
      </c>
      <c r="Q9" s="14" t="s">
        <v>279</v>
      </c>
      <c r="R9" s="14">
        <v>3619</v>
      </c>
      <c r="S9" s="14">
        <f>YEAR(Sheet1!$N9)</f>
        <v>2004</v>
      </c>
      <c r="T9" s="14">
        <f>WEEKNUM(K9)</f>
        <v>9</v>
      </c>
      <c r="U9" s="26"/>
      <c r="V9" s="23"/>
    </row>
    <row r="10" spans="1:23" x14ac:dyDescent="0.3">
      <c r="A10" s="10">
        <v>129</v>
      </c>
      <c r="B10" s="11" t="s">
        <v>10</v>
      </c>
      <c r="C10" s="11" t="s">
        <v>125</v>
      </c>
      <c r="D10" s="11">
        <v>1165</v>
      </c>
      <c r="E10" s="11">
        <v>1188</v>
      </c>
      <c r="F10" s="11">
        <v>10102</v>
      </c>
      <c r="G10" s="11" t="s">
        <v>166</v>
      </c>
      <c r="H10" s="11">
        <v>39</v>
      </c>
      <c r="I10" s="34">
        <v>95.55</v>
      </c>
      <c r="J10" s="38">
        <f t="shared" si="0"/>
        <v>3726.45</v>
      </c>
      <c r="K10" s="12">
        <v>37683</v>
      </c>
      <c r="L10" s="12" t="str">
        <f t="shared" si="1"/>
        <v>March</v>
      </c>
      <c r="M10" s="11" t="s">
        <v>270</v>
      </c>
      <c r="N10" s="12">
        <v>37772</v>
      </c>
      <c r="O10" s="11" t="s">
        <v>170</v>
      </c>
      <c r="P10" s="11" t="s">
        <v>286</v>
      </c>
      <c r="Q10" s="11" t="s">
        <v>287</v>
      </c>
      <c r="R10" s="11">
        <v>1579</v>
      </c>
      <c r="S10" s="11">
        <f>YEAR(Sheet1!$N10)</f>
        <v>2003</v>
      </c>
      <c r="T10" s="11">
        <f>WEEKNUM(K10)</f>
        <v>10</v>
      </c>
      <c r="U10" s="25"/>
      <c r="V10" s="22"/>
    </row>
    <row r="11" spans="1:23" x14ac:dyDescent="0.3">
      <c r="A11" s="13">
        <v>131</v>
      </c>
      <c r="B11" s="14" t="s">
        <v>11</v>
      </c>
      <c r="C11" s="14" t="s">
        <v>125</v>
      </c>
      <c r="D11" s="14">
        <v>1323</v>
      </c>
      <c r="E11" s="14">
        <v>1216</v>
      </c>
      <c r="F11" s="14">
        <v>10102</v>
      </c>
      <c r="G11" s="14" t="s">
        <v>167</v>
      </c>
      <c r="H11" s="14">
        <v>41</v>
      </c>
      <c r="I11" s="33">
        <v>43.13</v>
      </c>
      <c r="J11" s="37">
        <f t="shared" si="0"/>
        <v>1768.3300000000002</v>
      </c>
      <c r="K11" s="15">
        <v>37690</v>
      </c>
      <c r="L11" s="15" t="str">
        <f t="shared" si="1"/>
        <v>March</v>
      </c>
      <c r="M11" s="14" t="s">
        <v>270</v>
      </c>
      <c r="N11" s="15">
        <v>38056</v>
      </c>
      <c r="O11" s="14" t="s">
        <v>233</v>
      </c>
      <c r="P11" s="14" t="s">
        <v>288</v>
      </c>
      <c r="Q11" s="14" t="s">
        <v>277</v>
      </c>
      <c r="R11" s="14">
        <v>9997</v>
      </c>
      <c r="S11" s="14">
        <f>YEAR(Sheet1!$N11)</f>
        <v>2004</v>
      </c>
      <c r="T11" s="14">
        <f>WEEKNUM(K11)</f>
        <v>11</v>
      </c>
      <c r="U11" s="26"/>
      <c r="V11" s="23"/>
    </row>
    <row r="12" spans="1:23" x14ac:dyDescent="0.3">
      <c r="A12" s="10">
        <v>141</v>
      </c>
      <c r="B12" s="11" t="s">
        <v>12</v>
      </c>
      <c r="C12" s="11" t="s">
        <v>130</v>
      </c>
      <c r="D12" s="11">
        <v>1370</v>
      </c>
      <c r="E12" s="11">
        <v>1286</v>
      </c>
      <c r="F12" s="11">
        <v>10103</v>
      </c>
      <c r="G12" s="11" t="s">
        <v>168</v>
      </c>
      <c r="H12" s="11">
        <v>26</v>
      </c>
      <c r="I12" s="34">
        <v>214.3</v>
      </c>
      <c r="J12" s="38">
        <f t="shared" si="0"/>
        <v>5571.8</v>
      </c>
      <c r="K12" s="12">
        <v>37698</v>
      </c>
      <c r="L12" s="12" t="str">
        <f t="shared" si="1"/>
        <v>March</v>
      </c>
      <c r="M12" s="11" t="s">
        <v>270</v>
      </c>
      <c r="N12" s="12">
        <v>38305</v>
      </c>
      <c r="O12" s="11" t="s">
        <v>184</v>
      </c>
      <c r="P12" s="11" t="s">
        <v>289</v>
      </c>
      <c r="Q12" s="11" t="s">
        <v>279</v>
      </c>
      <c r="R12" s="11">
        <v>6906</v>
      </c>
      <c r="S12" s="11">
        <f>YEAR(Sheet1!$N12)</f>
        <v>2004</v>
      </c>
      <c r="T12" s="11">
        <f>WEEKNUM(K12)</f>
        <v>12</v>
      </c>
      <c r="U12" s="25"/>
      <c r="V12" s="22"/>
    </row>
    <row r="13" spans="1:23" x14ac:dyDescent="0.3">
      <c r="A13" s="13">
        <v>144</v>
      </c>
      <c r="B13" s="14" t="s">
        <v>13</v>
      </c>
      <c r="C13" s="14" t="s">
        <v>131</v>
      </c>
      <c r="D13" s="14">
        <v>1504</v>
      </c>
      <c r="E13" s="14">
        <v>1323</v>
      </c>
      <c r="F13" s="14">
        <v>10103</v>
      </c>
      <c r="G13" s="14" t="s">
        <v>169</v>
      </c>
      <c r="H13" s="14">
        <v>42</v>
      </c>
      <c r="I13" s="33">
        <v>119.67</v>
      </c>
      <c r="J13" s="37">
        <f t="shared" si="0"/>
        <v>5026.1400000000003</v>
      </c>
      <c r="K13" s="15">
        <v>37705</v>
      </c>
      <c r="L13" s="15" t="str">
        <f t="shared" si="1"/>
        <v>March</v>
      </c>
      <c r="M13" s="14" t="s">
        <v>270</v>
      </c>
      <c r="N13" s="15">
        <v>38207</v>
      </c>
      <c r="O13" s="14" t="s">
        <v>239</v>
      </c>
      <c r="P13" s="14" t="s">
        <v>290</v>
      </c>
      <c r="Q13" s="14" t="s">
        <v>279</v>
      </c>
      <c r="R13" s="14">
        <v>9123</v>
      </c>
      <c r="S13" s="14">
        <f>YEAR(Sheet1!$N13)</f>
        <v>2004</v>
      </c>
      <c r="T13" s="14">
        <f>WEEKNUM(K13)</f>
        <v>13</v>
      </c>
      <c r="U13" s="26"/>
      <c r="V13" s="23"/>
    </row>
    <row r="14" spans="1:23" x14ac:dyDescent="0.3">
      <c r="A14" s="10">
        <v>145</v>
      </c>
      <c r="B14" s="11" t="s">
        <v>14</v>
      </c>
      <c r="C14" s="11" t="s">
        <v>132</v>
      </c>
      <c r="D14" s="11">
        <v>1401</v>
      </c>
      <c r="E14" s="11">
        <v>1337</v>
      </c>
      <c r="F14" s="11">
        <v>10103</v>
      </c>
      <c r="G14" s="11" t="s">
        <v>170</v>
      </c>
      <c r="H14" s="11">
        <v>27</v>
      </c>
      <c r="I14" s="34">
        <v>121.64</v>
      </c>
      <c r="J14" s="38">
        <f t="shared" si="0"/>
        <v>3284.28</v>
      </c>
      <c r="K14" s="12">
        <v>37704</v>
      </c>
      <c r="L14" s="12" t="str">
        <f t="shared" si="1"/>
        <v>March</v>
      </c>
      <c r="M14" s="11" t="s">
        <v>270</v>
      </c>
      <c r="N14" s="12">
        <v>38405</v>
      </c>
      <c r="O14" s="11" t="s">
        <v>199</v>
      </c>
      <c r="P14" s="11" t="s">
        <v>291</v>
      </c>
      <c r="Q14" s="11" t="s">
        <v>279</v>
      </c>
      <c r="R14" s="11">
        <v>1049</v>
      </c>
      <c r="S14" s="11">
        <f>YEAR(Sheet1!$N14)</f>
        <v>2005</v>
      </c>
      <c r="T14" s="11">
        <f>WEEKNUM(K14)</f>
        <v>13</v>
      </c>
      <c r="U14" s="25"/>
      <c r="V14" s="22"/>
    </row>
    <row r="15" spans="1:23" x14ac:dyDescent="0.3">
      <c r="A15" s="13">
        <v>146</v>
      </c>
      <c r="B15" s="14" t="s">
        <v>15</v>
      </c>
      <c r="C15" s="14" t="s">
        <v>124</v>
      </c>
      <c r="D15" s="14">
        <v>1337</v>
      </c>
      <c r="E15" s="14">
        <v>1370</v>
      </c>
      <c r="F15" s="14">
        <v>10103</v>
      </c>
      <c r="G15" s="14" t="s">
        <v>171</v>
      </c>
      <c r="H15" s="14">
        <v>35</v>
      </c>
      <c r="I15" s="33">
        <v>94.5</v>
      </c>
      <c r="J15" s="37">
        <f t="shared" si="0"/>
        <v>3307.5</v>
      </c>
      <c r="K15" s="15">
        <v>37706</v>
      </c>
      <c r="L15" s="15" t="str">
        <f t="shared" si="1"/>
        <v>March</v>
      </c>
      <c r="M15" s="14" t="s">
        <v>270</v>
      </c>
      <c r="N15" s="15">
        <v>37668</v>
      </c>
      <c r="O15" s="14" t="s">
        <v>240</v>
      </c>
      <c r="P15" s="14" t="s">
        <v>292</v>
      </c>
      <c r="Q15" s="14" t="s">
        <v>279</v>
      </c>
      <c r="R15" s="14">
        <v>5663</v>
      </c>
      <c r="S15" s="14">
        <f>YEAR(Sheet1!$N15)</f>
        <v>2003</v>
      </c>
      <c r="T15" s="14">
        <f>WEEKNUM(K15)</f>
        <v>13</v>
      </c>
      <c r="U15" s="26"/>
      <c r="V15" s="23"/>
    </row>
    <row r="16" spans="1:23" x14ac:dyDescent="0.3">
      <c r="A16" s="10">
        <v>148</v>
      </c>
      <c r="B16" s="11" t="s">
        <v>16</v>
      </c>
      <c r="C16" s="11" t="s">
        <v>133</v>
      </c>
      <c r="D16" s="11">
        <v>1621</v>
      </c>
      <c r="E16" s="11">
        <v>1401</v>
      </c>
      <c r="F16" s="11">
        <v>10103</v>
      </c>
      <c r="G16" s="11" t="s">
        <v>172</v>
      </c>
      <c r="H16" s="11">
        <v>22</v>
      </c>
      <c r="I16" s="34">
        <v>58.34</v>
      </c>
      <c r="J16" s="38">
        <f t="shared" si="0"/>
        <v>1283.48</v>
      </c>
      <c r="K16" s="12">
        <v>37712</v>
      </c>
      <c r="L16" s="12" t="str">
        <f t="shared" si="1"/>
        <v>April</v>
      </c>
      <c r="M16" s="11" t="s">
        <v>270</v>
      </c>
      <c r="N16" s="12">
        <v>37922</v>
      </c>
      <c r="O16" s="11" t="s">
        <v>185</v>
      </c>
      <c r="P16" s="11" t="s">
        <v>293</v>
      </c>
      <c r="Q16" s="11" t="s">
        <v>287</v>
      </c>
      <c r="R16" s="11">
        <v>6125</v>
      </c>
      <c r="S16" s="11">
        <f>YEAR(Sheet1!$N16)</f>
        <v>2003</v>
      </c>
      <c r="T16" s="11">
        <f>WEEKNUM(K16)</f>
        <v>14</v>
      </c>
      <c r="U16" s="25"/>
      <c r="V16" s="22"/>
    </row>
    <row r="17" spans="1:22" x14ac:dyDescent="0.3">
      <c r="A17" s="13">
        <v>151</v>
      </c>
      <c r="B17" s="14" t="s">
        <v>17</v>
      </c>
      <c r="C17" s="14" t="s">
        <v>125</v>
      </c>
      <c r="D17" s="14">
        <v>1286</v>
      </c>
      <c r="E17" s="14">
        <v>1501</v>
      </c>
      <c r="F17" s="14">
        <v>10103</v>
      </c>
      <c r="G17" s="14" t="s">
        <v>173</v>
      </c>
      <c r="H17" s="14">
        <v>27</v>
      </c>
      <c r="I17" s="33">
        <v>92.19</v>
      </c>
      <c r="J17" s="37">
        <f t="shared" si="0"/>
        <v>2489.13</v>
      </c>
      <c r="K17" s="15">
        <v>37715</v>
      </c>
      <c r="L17" s="15" t="str">
        <f t="shared" si="1"/>
        <v>April</v>
      </c>
      <c r="M17" s="14" t="s">
        <v>270</v>
      </c>
      <c r="N17" s="15">
        <v>38295</v>
      </c>
      <c r="O17" s="14" t="s">
        <v>241</v>
      </c>
      <c r="P17" s="14" t="s">
        <v>294</v>
      </c>
      <c r="Q17" s="14" t="s">
        <v>279</v>
      </c>
      <c r="R17" s="14">
        <v>7323</v>
      </c>
      <c r="S17" s="14">
        <f>YEAR(Sheet1!$N17)</f>
        <v>2004</v>
      </c>
      <c r="T17" s="14">
        <f>WEEKNUM(K17)</f>
        <v>14</v>
      </c>
      <c r="U17" s="26"/>
      <c r="V17" s="23"/>
    </row>
    <row r="18" spans="1:22" x14ac:dyDescent="0.3">
      <c r="A18" s="10">
        <v>157</v>
      </c>
      <c r="B18" s="11" t="s">
        <v>413</v>
      </c>
      <c r="C18" s="11" t="s">
        <v>125</v>
      </c>
      <c r="D18" s="11">
        <v>1216</v>
      </c>
      <c r="E18" s="11">
        <v>1504</v>
      </c>
      <c r="F18" s="11">
        <v>10103</v>
      </c>
      <c r="G18" s="11" t="s">
        <v>174</v>
      </c>
      <c r="H18" s="11">
        <v>35</v>
      </c>
      <c r="I18" s="34">
        <v>61.84</v>
      </c>
      <c r="J18" s="38">
        <f t="shared" si="0"/>
        <v>2164.4</v>
      </c>
      <c r="K18" s="12">
        <v>37722</v>
      </c>
      <c r="L18" s="12" t="str">
        <f t="shared" si="1"/>
        <v>April</v>
      </c>
      <c r="M18" s="11" t="s">
        <v>270</v>
      </c>
      <c r="N18" s="12">
        <v>38319</v>
      </c>
      <c r="O18" s="11" t="s">
        <v>171</v>
      </c>
      <c r="P18" s="11" t="s">
        <v>295</v>
      </c>
      <c r="Q18" s="11" t="s">
        <v>287</v>
      </c>
      <c r="R18" s="11">
        <v>2613</v>
      </c>
      <c r="S18" s="11">
        <f>YEAR(Sheet1!$N18)</f>
        <v>2004</v>
      </c>
      <c r="T18" s="11">
        <f>WEEKNUM(K18)</f>
        <v>15</v>
      </c>
      <c r="U18" s="25"/>
      <c r="V18" s="22"/>
    </row>
    <row r="19" spans="1:22" x14ac:dyDescent="0.3">
      <c r="A19" s="13">
        <v>161</v>
      </c>
      <c r="B19" s="14" t="s">
        <v>18</v>
      </c>
      <c r="C19" s="14" t="s">
        <v>125</v>
      </c>
      <c r="D19" s="14">
        <v>1165</v>
      </c>
      <c r="E19" s="14">
        <v>1611</v>
      </c>
      <c r="F19" s="14">
        <v>10103</v>
      </c>
      <c r="G19" s="14" t="s">
        <v>175</v>
      </c>
      <c r="H19" s="14">
        <v>25</v>
      </c>
      <c r="I19" s="33">
        <v>86.92</v>
      </c>
      <c r="J19" s="37">
        <f t="shared" si="0"/>
        <v>2173</v>
      </c>
      <c r="K19" s="15">
        <v>37727</v>
      </c>
      <c r="L19" s="15" t="str">
        <f t="shared" si="1"/>
        <v>April</v>
      </c>
      <c r="M19" s="14" t="s">
        <v>270</v>
      </c>
      <c r="N19" s="15">
        <v>38416</v>
      </c>
      <c r="O19" s="14" t="s">
        <v>254</v>
      </c>
      <c r="P19" s="14" t="s">
        <v>296</v>
      </c>
      <c r="Q19" s="14" t="s">
        <v>279</v>
      </c>
      <c r="R19" s="14">
        <v>3975</v>
      </c>
      <c r="S19" s="14">
        <f>YEAR(Sheet1!$N19)</f>
        <v>2005</v>
      </c>
      <c r="T19" s="14">
        <f>WEEKNUM(K19)</f>
        <v>16</v>
      </c>
      <c r="U19" s="26"/>
      <c r="V19" s="23"/>
    </row>
    <row r="20" spans="1:22" x14ac:dyDescent="0.3">
      <c r="A20" s="10">
        <v>166</v>
      </c>
      <c r="B20" s="11" t="s">
        <v>19</v>
      </c>
      <c r="C20" s="11" t="s">
        <v>133</v>
      </c>
      <c r="D20" s="11">
        <v>1612</v>
      </c>
      <c r="E20" s="11">
        <v>1612</v>
      </c>
      <c r="F20" s="11">
        <v>10103</v>
      </c>
      <c r="G20" s="11" t="s">
        <v>176</v>
      </c>
      <c r="H20" s="11">
        <v>46</v>
      </c>
      <c r="I20" s="34">
        <v>86.31</v>
      </c>
      <c r="J20" s="38">
        <f t="shared" si="0"/>
        <v>3970.26</v>
      </c>
      <c r="K20" s="12">
        <v>37732</v>
      </c>
      <c r="L20" s="12" t="str">
        <f t="shared" si="1"/>
        <v>April</v>
      </c>
      <c r="M20" s="11" t="s">
        <v>270</v>
      </c>
      <c r="N20" s="12">
        <v>38227</v>
      </c>
      <c r="O20" s="11" t="s">
        <v>166</v>
      </c>
      <c r="P20" s="11" t="s">
        <v>297</v>
      </c>
      <c r="Q20" s="11" t="s">
        <v>298</v>
      </c>
      <c r="R20" s="11">
        <v>8693</v>
      </c>
      <c r="S20" s="11">
        <f>YEAR(Sheet1!$N20)</f>
        <v>2004</v>
      </c>
      <c r="T20" s="11">
        <f>WEEKNUM(K20)</f>
        <v>17</v>
      </c>
      <c r="U20" s="25"/>
      <c r="V20" s="22"/>
    </row>
    <row r="21" spans="1:22" x14ac:dyDescent="0.3">
      <c r="A21" s="13">
        <v>167</v>
      </c>
      <c r="B21" s="14" t="s">
        <v>20</v>
      </c>
      <c r="C21" s="14" t="s">
        <v>134</v>
      </c>
      <c r="D21" s="14">
        <v>1504</v>
      </c>
      <c r="E21" s="14">
        <v>1619</v>
      </c>
      <c r="F21" s="14">
        <v>10103</v>
      </c>
      <c r="G21" s="14" t="s">
        <v>177</v>
      </c>
      <c r="H21" s="14">
        <v>36</v>
      </c>
      <c r="I21" s="33">
        <v>98.07</v>
      </c>
      <c r="J21" s="37">
        <f t="shared" si="0"/>
        <v>3530.5199999999995</v>
      </c>
      <c r="K21" s="15">
        <v>37739</v>
      </c>
      <c r="L21" s="15" t="str">
        <f t="shared" si="1"/>
        <v>April</v>
      </c>
      <c r="M21" s="14" t="s">
        <v>270</v>
      </c>
      <c r="N21" s="15">
        <v>37722</v>
      </c>
      <c r="O21" s="14" t="s">
        <v>167</v>
      </c>
      <c r="P21" s="14" t="s">
        <v>299</v>
      </c>
      <c r="Q21" s="14" t="s">
        <v>298</v>
      </c>
      <c r="R21" s="14">
        <v>8635</v>
      </c>
      <c r="S21" s="14">
        <f>YEAR(Sheet1!$N21)</f>
        <v>2003</v>
      </c>
      <c r="T21" s="14">
        <f>WEEKNUM(K21)</f>
        <v>18</v>
      </c>
      <c r="U21" s="26"/>
      <c r="V21" s="23"/>
    </row>
    <row r="22" spans="1:22" x14ac:dyDescent="0.3">
      <c r="A22" s="10">
        <v>168</v>
      </c>
      <c r="B22" s="11" t="s">
        <v>21</v>
      </c>
      <c r="C22" s="11" t="s">
        <v>125</v>
      </c>
      <c r="D22" s="11">
        <v>1286</v>
      </c>
      <c r="E22" s="11">
        <v>1621</v>
      </c>
      <c r="F22" s="11">
        <v>10103</v>
      </c>
      <c r="G22" s="11" t="s">
        <v>178</v>
      </c>
      <c r="H22" s="11">
        <v>41</v>
      </c>
      <c r="I22" s="34">
        <v>40.75</v>
      </c>
      <c r="J22" s="38">
        <f t="shared" si="0"/>
        <v>1670.75</v>
      </c>
      <c r="K22" s="12">
        <v>37740</v>
      </c>
      <c r="L22" s="12" t="str">
        <f t="shared" si="1"/>
        <v>April</v>
      </c>
      <c r="M22" s="11" t="s">
        <v>270</v>
      </c>
      <c r="N22" s="12">
        <v>38458</v>
      </c>
      <c r="O22" s="11" t="s">
        <v>259</v>
      </c>
      <c r="P22" s="11" t="s">
        <v>300</v>
      </c>
      <c r="Q22" s="11" t="s">
        <v>279</v>
      </c>
      <c r="R22" s="11">
        <v>9042</v>
      </c>
      <c r="S22" s="11">
        <f>YEAR(Sheet1!$N22)</f>
        <v>2005</v>
      </c>
      <c r="T22" s="11">
        <f>WEEKNUM(K22)</f>
        <v>18</v>
      </c>
      <c r="U22" s="25"/>
      <c r="V22" s="22"/>
    </row>
    <row r="23" spans="1:22" x14ac:dyDescent="0.3">
      <c r="A23" s="13">
        <v>169</v>
      </c>
      <c r="B23" s="14" t="s">
        <v>22</v>
      </c>
      <c r="C23" s="14" t="s">
        <v>135</v>
      </c>
      <c r="D23" s="14">
        <v>1702</v>
      </c>
      <c r="E23" s="14">
        <v>1625</v>
      </c>
      <c r="F23" s="14">
        <v>10103</v>
      </c>
      <c r="G23" s="14" t="s">
        <v>179</v>
      </c>
      <c r="H23" s="14">
        <v>36</v>
      </c>
      <c r="I23" s="33">
        <v>107.34</v>
      </c>
      <c r="J23" s="37">
        <f t="shared" si="0"/>
        <v>3864.2400000000002</v>
      </c>
      <c r="K23" s="15">
        <v>37748</v>
      </c>
      <c r="L23" s="15" t="str">
        <f t="shared" si="1"/>
        <v>May</v>
      </c>
      <c r="M23" s="14" t="s">
        <v>270</v>
      </c>
      <c r="N23" s="15">
        <v>38348</v>
      </c>
      <c r="O23" s="14" t="s">
        <v>212</v>
      </c>
      <c r="P23" s="14" t="s">
        <v>301</v>
      </c>
      <c r="Q23" s="14" t="s">
        <v>302</v>
      </c>
      <c r="R23" s="14">
        <v>5330</v>
      </c>
      <c r="S23" s="14">
        <f>YEAR(Sheet1!$N23)</f>
        <v>2004</v>
      </c>
      <c r="T23" s="14">
        <f>WEEKNUM(K23)</f>
        <v>19</v>
      </c>
      <c r="U23" s="26"/>
      <c r="V23" s="23"/>
    </row>
    <row r="24" spans="1:22" x14ac:dyDescent="0.3">
      <c r="A24" s="10">
        <v>171</v>
      </c>
      <c r="B24" s="11" t="s">
        <v>23</v>
      </c>
      <c r="C24" s="11" t="s">
        <v>124</v>
      </c>
      <c r="D24" s="11">
        <v>1370</v>
      </c>
      <c r="E24" s="11">
        <v>1702</v>
      </c>
      <c r="F24" s="11">
        <v>10103</v>
      </c>
      <c r="G24" s="11" t="s">
        <v>180</v>
      </c>
      <c r="H24" s="11">
        <v>25</v>
      </c>
      <c r="I24" s="34">
        <v>88.62</v>
      </c>
      <c r="J24" s="38">
        <f t="shared" si="0"/>
        <v>2215.5</v>
      </c>
      <c r="K24" s="12">
        <v>37749</v>
      </c>
      <c r="L24" s="12" t="str">
        <f t="shared" si="1"/>
        <v>May</v>
      </c>
      <c r="M24" s="11" t="s">
        <v>270</v>
      </c>
      <c r="N24" s="12">
        <v>38293</v>
      </c>
      <c r="O24" s="11" t="s">
        <v>158</v>
      </c>
      <c r="P24" s="11" t="s">
        <v>303</v>
      </c>
      <c r="Q24" s="11" t="s">
        <v>298</v>
      </c>
      <c r="R24" s="11">
        <v>2724</v>
      </c>
      <c r="S24" s="11">
        <f>YEAR(Sheet1!$N24)</f>
        <v>2004</v>
      </c>
      <c r="T24" s="11">
        <f>WEEKNUM(K24)</f>
        <v>19</v>
      </c>
      <c r="U24" s="25"/>
      <c r="V24" s="22"/>
    </row>
    <row r="25" spans="1:22" x14ac:dyDescent="0.3">
      <c r="A25" s="13">
        <v>172</v>
      </c>
      <c r="B25" s="14" t="s">
        <v>24</v>
      </c>
      <c r="C25" s="14" t="s">
        <v>124</v>
      </c>
      <c r="D25" s="14">
        <v>1337</v>
      </c>
      <c r="E25" s="14">
        <v>1621</v>
      </c>
      <c r="F25" s="14">
        <v>10103</v>
      </c>
      <c r="G25" s="14" t="s">
        <v>181</v>
      </c>
      <c r="H25" s="14">
        <v>31</v>
      </c>
      <c r="I25" s="33">
        <v>92.46</v>
      </c>
      <c r="J25" s="37">
        <f t="shared" si="0"/>
        <v>2866.2599999999998</v>
      </c>
      <c r="K25" s="15">
        <v>37761</v>
      </c>
      <c r="L25" s="15" t="str">
        <f t="shared" si="1"/>
        <v>May</v>
      </c>
      <c r="M25" s="14" t="s">
        <v>270</v>
      </c>
      <c r="N25" s="15">
        <v>37848</v>
      </c>
      <c r="O25" s="14" t="s">
        <v>242</v>
      </c>
      <c r="P25" s="14" t="s">
        <v>304</v>
      </c>
      <c r="Q25" s="14" t="s">
        <v>279</v>
      </c>
      <c r="R25" s="14">
        <v>8826</v>
      </c>
      <c r="S25" s="14">
        <f>YEAR(Sheet1!$N25)</f>
        <v>2003</v>
      </c>
      <c r="T25" s="14">
        <f>WEEKNUM(K25)</f>
        <v>21</v>
      </c>
      <c r="U25" s="26"/>
      <c r="V25" s="23"/>
    </row>
    <row r="26" spans="1:22" x14ac:dyDescent="0.3">
      <c r="A26" s="10">
        <v>173</v>
      </c>
      <c r="B26" s="11" t="s">
        <v>25</v>
      </c>
      <c r="C26" s="11" t="s">
        <v>125</v>
      </c>
      <c r="D26" s="11">
        <v>1188</v>
      </c>
      <c r="E26" s="11">
        <v>1286</v>
      </c>
      <c r="F26" s="11">
        <v>10103</v>
      </c>
      <c r="G26" s="11" t="s">
        <v>182</v>
      </c>
      <c r="H26" s="11">
        <v>45</v>
      </c>
      <c r="I26" s="34">
        <v>63.35</v>
      </c>
      <c r="J26" s="38">
        <f t="shared" si="0"/>
        <v>2850.75</v>
      </c>
      <c r="K26" s="12">
        <v>37762</v>
      </c>
      <c r="L26" s="12" t="str">
        <f t="shared" si="1"/>
        <v>May</v>
      </c>
      <c r="M26" s="11" t="s">
        <v>270</v>
      </c>
      <c r="N26" s="12">
        <v>38072</v>
      </c>
      <c r="O26" s="11" t="s">
        <v>255</v>
      </c>
      <c r="P26" s="11" t="s">
        <v>305</v>
      </c>
      <c r="Q26" s="11" t="s">
        <v>279</v>
      </c>
      <c r="R26" s="11">
        <v>9772</v>
      </c>
      <c r="S26" s="11">
        <f>YEAR(Sheet1!$N26)</f>
        <v>2004</v>
      </c>
      <c r="T26" s="11">
        <f>WEEKNUM(K26)</f>
        <v>21</v>
      </c>
      <c r="U26" s="25"/>
      <c r="V26" s="22"/>
    </row>
    <row r="27" spans="1:22" x14ac:dyDescent="0.3">
      <c r="A27" s="13">
        <v>175</v>
      </c>
      <c r="B27" s="14" t="s">
        <v>26</v>
      </c>
      <c r="C27" s="14" t="s">
        <v>125</v>
      </c>
      <c r="D27" s="14">
        <v>1323</v>
      </c>
      <c r="E27" s="14">
        <v>1216</v>
      </c>
      <c r="F27" s="14">
        <v>10103</v>
      </c>
      <c r="G27" s="14" t="s">
        <v>183</v>
      </c>
      <c r="H27" s="14">
        <v>42</v>
      </c>
      <c r="I27" s="33">
        <v>94.07</v>
      </c>
      <c r="J27" s="37">
        <f t="shared" si="0"/>
        <v>3950.9399999999996</v>
      </c>
      <c r="K27" s="15">
        <v>37762</v>
      </c>
      <c r="L27" s="15" t="str">
        <f t="shared" si="1"/>
        <v>May</v>
      </c>
      <c r="M27" s="14" t="s">
        <v>270</v>
      </c>
      <c r="N27" s="15">
        <v>37950</v>
      </c>
      <c r="O27" s="14" t="s">
        <v>186</v>
      </c>
      <c r="P27" s="14" t="s">
        <v>306</v>
      </c>
      <c r="Q27" s="14" t="s">
        <v>279</v>
      </c>
      <c r="R27" s="14">
        <v>4724</v>
      </c>
      <c r="S27" s="14">
        <f>YEAR(Sheet1!$N27)</f>
        <v>2003</v>
      </c>
      <c r="T27" s="14">
        <f>WEEKNUM(K27)</f>
        <v>21</v>
      </c>
      <c r="U27" s="26"/>
      <c r="V27" s="23"/>
    </row>
    <row r="28" spans="1:22" x14ac:dyDescent="0.3">
      <c r="A28" s="10">
        <v>177</v>
      </c>
      <c r="B28" s="11" t="s">
        <v>27</v>
      </c>
      <c r="C28" s="11" t="s">
        <v>136</v>
      </c>
      <c r="D28" s="11">
        <v>1621</v>
      </c>
      <c r="E28" s="11">
        <v>1165</v>
      </c>
      <c r="F28" s="11">
        <v>10104</v>
      </c>
      <c r="G28" s="11" t="s">
        <v>184</v>
      </c>
      <c r="H28" s="11">
        <v>34</v>
      </c>
      <c r="I28" s="34">
        <v>131.44</v>
      </c>
      <c r="J28" s="38">
        <f t="shared" si="0"/>
        <v>4468.96</v>
      </c>
      <c r="K28" s="12">
        <v>37769</v>
      </c>
      <c r="L28" s="12" t="str">
        <f t="shared" si="1"/>
        <v>May</v>
      </c>
      <c r="M28" s="11" t="s">
        <v>270</v>
      </c>
      <c r="N28" s="12">
        <v>37649</v>
      </c>
      <c r="O28" s="11" t="s">
        <v>159</v>
      </c>
      <c r="P28" s="11" t="s">
        <v>307</v>
      </c>
      <c r="Q28" s="11" t="s">
        <v>298</v>
      </c>
      <c r="R28" s="11">
        <v>540</v>
      </c>
      <c r="S28" s="11">
        <f>YEAR(Sheet1!$N28)</f>
        <v>2003</v>
      </c>
      <c r="T28" s="11">
        <f>WEEKNUM(K28)</f>
        <v>22</v>
      </c>
      <c r="U28" s="25"/>
      <c r="V28" s="22"/>
    </row>
    <row r="29" spans="1:22" x14ac:dyDescent="0.3">
      <c r="A29" s="13">
        <v>181</v>
      </c>
      <c r="B29" s="14" t="s">
        <v>28</v>
      </c>
      <c r="C29" s="14" t="s">
        <v>125</v>
      </c>
      <c r="D29" s="14">
        <v>1286</v>
      </c>
      <c r="E29" s="14">
        <v>1612</v>
      </c>
      <c r="F29" s="14">
        <v>10104</v>
      </c>
      <c r="G29" s="14" t="s">
        <v>185</v>
      </c>
      <c r="H29" s="14">
        <v>41</v>
      </c>
      <c r="I29" s="33">
        <v>111.39</v>
      </c>
      <c r="J29" s="37">
        <f t="shared" si="0"/>
        <v>4566.99</v>
      </c>
      <c r="K29" s="15">
        <v>37775</v>
      </c>
      <c r="L29" s="15" t="str">
        <f t="shared" si="1"/>
        <v>June</v>
      </c>
      <c r="M29" s="14" t="s">
        <v>270</v>
      </c>
      <c r="N29" s="15">
        <v>37912</v>
      </c>
      <c r="O29" s="14" t="s">
        <v>187</v>
      </c>
      <c r="P29" s="14" t="s">
        <v>308</v>
      </c>
      <c r="Q29" s="14" t="s">
        <v>287</v>
      </c>
      <c r="R29" s="14">
        <v>8258</v>
      </c>
      <c r="S29" s="14">
        <f>YEAR(Sheet1!$N29)</f>
        <v>2003</v>
      </c>
      <c r="T29" s="14">
        <f>WEEKNUM(K29)</f>
        <v>23</v>
      </c>
      <c r="U29" s="26"/>
      <c r="V29" s="23"/>
    </row>
    <row r="30" spans="1:22" x14ac:dyDescent="0.3">
      <c r="A30" s="10">
        <v>186</v>
      </c>
      <c r="B30" s="11" t="s">
        <v>29</v>
      </c>
      <c r="C30" s="11" t="s">
        <v>137</v>
      </c>
      <c r="D30" s="11">
        <v>1501</v>
      </c>
      <c r="E30" s="16">
        <v>1504</v>
      </c>
      <c r="F30" s="17">
        <v>10104</v>
      </c>
      <c r="G30" s="11" t="s">
        <v>186</v>
      </c>
      <c r="H30" s="11">
        <v>24</v>
      </c>
      <c r="I30" s="34">
        <v>135.9</v>
      </c>
      <c r="J30" s="38">
        <f t="shared" si="0"/>
        <v>3261.6000000000004</v>
      </c>
      <c r="K30" s="12">
        <v>37778</v>
      </c>
      <c r="L30" s="12" t="str">
        <f t="shared" si="1"/>
        <v>June</v>
      </c>
      <c r="M30" s="11" t="s">
        <v>270</v>
      </c>
      <c r="N30" s="12">
        <v>38070</v>
      </c>
      <c r="O30" s="11" t="s">
        <v>162</v>
      </c>
      <c r="P30" s="11" t="s">
        <v>309</v>
      </c>
      <c r="Q30" s="11" t="s">
        <v>298</v>
      </c>
      <c r="R30" s="11">
        <v>9354</v>
      </c>
      <c r="S30" s="11">
        <f>YEAR(Sheet1!$N30)</f>
        <v>2004</v>
      </c>
      <c r="T30" s="11">
        <f>WEEKNUM(K30)</f>
        <v>23</v>
      </c>
      <c r="U30" s="25"/>
      <c r="V30" s="22"/>
    </row>
    <row r="31" spans="1:22" x14ac:dyDescent="0.3">
      <c r="A31" s="13">
        <v>187</v>
      </c>
      <c r="B31" s="14" t="s">
        <v>30</v>
      </c>
      <c r="C31" s="14" t="s">
        <v>138</v>
      </c>
      <c r="D31" s="14">
        <v>1501</v>
      </c>
      <c r="E31" s="18">
        <v>1286</v>
      </c>
      <c r="F31" s="14">
        <v>10104</v>
      </c>
      <c r="G31" s="14" t="s">
        <v>187</v>
      </c>
      <c r="H31" s="14">
        <v>29</v>
      </c>
      <c r="I31" s="33">
        <v>122.73</v>
      </c>
      <c r="J31" s="37">
        <f t="shared" si="0"/>
        <v>3559.17</v>
      </c>
      <c r="K31" s="15">
        <v>37784</v>
      </c>
      <c r="L31" s="15" t="str">
        <f t="shared" si="1"/>
        <v>June</v>
      </c>
      <c r="M31" s="14" t="s">
        <v>270</v>
      </c>
      <c r="N31" s="15">
        <v>38309</v>
      </c>
      <c r="O31" s="14" t="s">
        <v>172</v>
      </c>
      <c r="P31" s="14" t="s">
        <v>310</v>
      </c>
      <c r="Q31" s="14" t="s">
        <v>287</v>
      </c>
      <c r="R31" s="14">
        <v>2018</v>
      </c>
      <c r="S31" s="14">
        <f>YEAR(Sheet1!$N31)</f>
        <v>2004</v>
      </c>
      <c r="T31" s="14">
        <f>WEEKNUM(K31)</f>
        <v>24</v>
      </c>
      <c r="U31" s="26"/>
      <c r="V31" s="23"/>
    </row>
    <row r="32" spans="1:22" x14ac:dyDescent="0.3">
      <c r="A32" s="10">
        <v>189</v>
      </c>
      <c r="B32" s="11" t="s">
        <v>31</v>
      </c>
      <c r="C32" s="11" t="s">
        <v>139</v>
      </c>
      <c r="D32" s="11">
        <v>1504</v>
      </c>
      <c r="E32" s="19">
        <v>1370</v>
      </c>
      <c r="F32" s="11">
        <v>10104</v>
      </c>
      <c r="G32" s="11" t="s">
        <v>188</v>
      </c>
      <c r="H32" s="11">
        <v>23</v>
      </c>
      <c r="I32" s="34">
        <v>165.95</v>
      </c>
      <c r="J32" s="38">
        <f t="shared" si="0"/>
        <v>3816.85</v>
      </c>
      <c r="K32" s="12">
        <v>37788</v>
      </c>
      <c r="L32" s="12" t="str">
        <f t="shared" si="1"/>
        <v>June</v>
      </c>
      <c r="M32" s="11" t="s">
        <v>270</v>
      </c>
      <c r="N32" s="12">
        <v>38329</v>
      </c>
      <c r="O32" s="11" t="s">
        <v>213</v>
      </c>
      <c r="P32" s="11" t="s">
        <v>311</v>
      </c>
      <c r="Q32" s="11" t="s">
        <v>302</v>
      </c>
      <c r="R32" s="11">
        <v>992</v>
      </c>
      <c r="S32" s="11">
        <f>YEAR(Sheet1!$N32)</f>
        <v>2004</v>
      </c>
      <c r="T32" s="11">
        <f>WEEKNUM(K32)</f>
        <v>25</v>
      </c>
      <c r="U32" s="25"/>
      <c r="V32" s="22"/>
    </row>
    <row r="33" spans="1:22" x14ac:dyDescent="0.3">
      <c r="A33" s="13">
        <v>198</v>
      </c>
      <c r="B33" s="14" t="s">
        <v>32</v>
      </c>
      <c r="C33" s="14" t="s">
        <v>125</v>
      </c>
      <c r="D33" s="14">
        <v>1216</v>
      </c>
      <c r="E33" s="14">
        <v>1166</v>
      </c>
      <c r="F33" s="14">
        <v>10104</v>
      </c>
      <c r="G33" s="14" t="s">
        <v>189</v>
      </c>
      <c r="H33" s="14">
        <v>38</v>
      </c>
      <c r="I33" s="33">
        <v>119.2</v>
      </c>
      <c r="J33" s="37">
        <f t="shared" si="0"/>
        <v>4529.6000000000004</v>
      </c>
      <c r="K33" s="15">
        <v>37788</v>
      </c>
      <c r="L33" s="15" t="str">
        <f t="shared" si="1"/>
        <v>June</v>
      </c>
      <c r="M33" s="14" t="s">
        <v>270</v>
      </c>
      <c r="N33" s="15">
        <v>37966</v>
      </c>
      <c r="O33" s="14" t="s">
        <v>234</v>
      </c>
      <c r="P33" s="14" t="s">
        <v>312</v>
      </c>
      <c r="Q33" s="14" t="s">
        <v>277</v>
      </c>
      <c r="R33" s="14">
        <v>4357</v>
      </c>
      <c r="S33" s="14">
        <f>YEAR(Sheet1!$N33)</f>
        <v>2003</v>
      </c>
      <c r="T33" s="14">
        <f>WEEKNUM(K33)</f>
        <v>25</v>
      </c>
      <c r="U33" s="26"/>
      <c r="V33" s="23"/>
    </row>
    <row r="34" spans="1:22" x14ac:dyDescent="0.3">
      <c r="A34" s="10">
        <v>201</v>
      </c>
      <c r="B34" s="11" t="s">
        <v>33</v>
      </c>
      <c r="C34" s="11" t="s">
        <v>138</v>
      </c>
      <c r="D34" s="11">
        <v>1501</v>
      </c>
      <c r="E34" s="11">
        <v>1611</v>
      </c>
      <c r="F34" s="11">
        <v>10104</v>
      </c>
      <c r="G34" s="11" t="s">
        <v>190</v>
      </c>
      <c r="H34" s="11">
        <v>35</v>
      </c>
      <c r="I34" s="34">
        <v>52.02</v>
      </c>
      <c r="J34" s="38">
        <f t="shared" si="0"/>
        <v>1820.7</v>
      </c>
      <c r="K34" s="12">
        <v>37797</v>
      </c>
      <c r="L34" s="12" t="str">
        <f t="shared" si="1"/>
        <v>June</v>
      </c>
      <c r="M34" s="11" t="s">
        <v>270</v>
      </c>
      <c r="N34" s="12">
        <v>37720</v>
      </c>
      <c r="O34" s="11" t="s">
        <v>163</v>
      </c>
      <c r="P34" s="11" t="s">
        <v>313</v>
      </c>
      <c r="Q34" s="11" t="s">
        <v>298</v>
      </c>
      <c r="R34" s="11">
        <v>548</v>
      </c>
      <c r="S34" s="11">
        <f>YEAR(Sheet1!$N34)</f>
        <v>2003</v>
      </c>
      <c r="T34" s="11">
        <f>WEEKNUM(K34)</f>
        <v>26</v>
      </c>
      <c r="U34" s="25"/>
      <c r="V34" s="22"/>
    </row>
    <row r="35" spans="1:22" x14ac:dyDescent="0.3">
      <c r="A35" s="13">
        <v>202</v>
      </c>
      <c r="B35" s="14" t="s">
        <v>34</v>
      </c>
      <c r="C35" s="14" t="s">
        <v>140</v>
      </c>
      <c r="D35" s="14">
        <v>1323</v>
      </c>
      <c r="E35" s="14">
        <v>1370</v>
      </c>
      <c r="F35" s="14">
        <v>10104</v>
      </c>
      <c r="G35" s="14" t="s">
        <v>191</v>
      </c>
      <c r="H35" s="14">
        <v>44</v>
      </c>
      <c r="I35" s="33">
        <v>30.41</v>
      </c>
      <c r="J35" s="37">
        <f t="shared" si="0"/>
        <v>1338.04</v>
      </c>
      <c r="K35" s="15">
        <v>37799</v>
      </c>
      <c r="L35" s="15" t="str">
        <f t="shared" si="1"/>
        <v>June</v>
      </c>
      <c r="M35" s="14" t="s">
        <v>270</v>
      </c>
      <c r="N35" s="15">
        <v>37692</v>
      </c>
      <c r="O35" s="14" t="s">
        <v>256</v>
      </c>
      <c r="P35" s="14" t="s">
        <v>314</v>
      </c>
      <c r="Q35" s="14" t="s">
        <v>279</v>
      </c>
      <c r="R35" s="14">
        <v>8164</v>
      </c>
      <c r="S35" s="14">
        <f>YEAR(Sheet1!$N35)</f>
        <v>2003</v>
      </c>
      <c r="T35" s="14">
        <f>WEEKNUM(K35)</f>
        <v>26</v>
      </c>
      <c r="U35" s="26"/>
      <c r="V35" s="23"/>
    </row>
    <row r="36" spans="1:22" x14ac:dyDescent="0.3">
      <c r="A36" s="10">
        <v>204</v>
      </c>
      <c r="B36" s="11" t="s">
        <v>35</v>
      </c>
      <c r="C36" s="11" t="s">
        <v>125</v>
      </c>
      <c r="D36" s="11">
        <v>1188</v>
      </c>
      <c r="E36" s="11">
        <v>1504</v>
      </c>
      <c r="F36" s="11">
        <v>10104</v>
      </c>
      <c r="G36" s="11" t="s">
        <v>192</v>
      </c>
      <c r="H36" s="11">
        <v>26</v>
      </c>
      <c r="I36" s="34">
        <v>106.45</v>
      </c>
      <c r="J36" s="38">
        <f t="shared" si="0"/>
        <v>2767.7000000000003</v>
      </c>
      <c r="K36" s="12">
        <v>37803</v>
      </c>
      <c r="L36" s="12" t="str">
        <f t="shared" si="1"/>
        <v>July</v>
      </c>
      <c r="M36" s="11" t="s">
        <v>270</v>
      </c>
      <c r="N36" s="12">
        <v>38323</v>
      </c>
      <c r="O36" s="11" t="s">
        <v>173</v>
      </c>
      <c r="P36" s="11" t="s">
        <v>315</v>
      </c>
      <c r="Q36" s="11" t="s">
        <v>298</v>
      </c>
      <c r="R36" s="11">
        <v>4189</v>
      </c>
      <c r="S36" s="11">
        <f>YEAR(Sheet1!$N36)</f>
        <v>2004</v>
      </c>
      <c r="T36" s="11">
        <f>WEEKNUM(K36)</f>
        <v>27</v>
      </c>
      <c r="U36" s="25"/>
      <c r="V36" s="22"/>
    </row>
    <row r="37" spans="1:22" x14ac:dyDescent="0.3">
      <c r="A37" s="13">
        <v>205</v>
      </c>
      <c r="B37" s="14" t="s">
        <v>36</v>
      </c>
      <c r="C37" s="14" t="s">
        <v>125</v>
      </c>
      <c r="D37" s="14">
        <v>1166</v>
      </c>
      <c r="E37" s="14">
        <v>1165</v>
      </c>
      <c r="F37" s="14">
        <v>10104</v>
      </c>
      <c r="G37" s="14" t="s">
        <v>193</v>
      </c>
      <c r="H37" s="14">
        <v>35</v>
      </c>
      <c r="I37" s="33">
        <v>51.95</v>
      </c>
      <c r="J37" s="37">
        <f t="shared" si="0"/>
        <v>1818.25</v>
      </c>
      <c r="K37" s="15">
        <v>37804</v>
      </c>
      <c r="L37" s="15" t="str">
        <f t="shared" si="1"/>
        <v>July</v>
      </c>
      <c r="M37" s="14" t="s">
        <v>270</v>
      </c>
      <c r="N37" s="15">
        <v>38241</v>
      </c>
      <c r="O37" s="14" t="s">
        <v>174</v>
      </c>
      <c r="P37" s="14" t="s">
        <v>316</v>
      </c>
      <c r="Q37" s="14" t="s">
        <v>298</v>
      </c>
      <c r="R37" s="14">
        <v>5649</v>
      </c>
      <c r="S37" s="14">
        <f>YEAR(Sheet1!$N37)</f>
        <v>2004</v>
      </c>
      <c r="T37" s="14">
        <f>WEEKNUM(K37)</f>
        <v>27</v>
      </c>
      <c r="U37" s="26"/>
      <c r="V37" s="23"/>
    </row>
    <row r="38" spans="1:22" x14ac:dyDescent="0.3">
      <c r="A38" s="10">
        <v>206</v>
      </c>
      <c r="B38" s="11" t="s">
        <v>37</v>
      </c>
      <c r="C38" s="11" t="s">
        <v>133</v>
      </c>
      <c r="D38" s="11">
        <v>1612</v>
      </c>
      <c r="E38" s="11">
        <v>1188</v>
      </c>
      <c r="F38" s="11">
        <v>10104</v>
      </c>
      <c r="G38" s="11" t="s">
        <v>194</v>
      </c>
      <c r="H38" s="11">
        <v>49</v>
      </c>
      <c r="I38" s="34">
        <v>56.55</v>
      </c>
      <c r="J38" s="38">
        <f t="shared" si="0"/>
        <v>2770.95</v>
      </c>
      <c r="K38" s="12">
        <v>37806</v>
      </c>
      <c r="L38" s="12" t="str">
        <f t="shared" si="1"/>
        <v>July</v>
      </c>
      <c r="M38" s="11" t="s">
        <v>270</v>
      </c>
      <c r="N38" s="12">
        <v>37821</v>
      </c>
      <c r="O38" s="11" t="s">
        <v>214</v>
      </c>
      <c r="P38" s="11" t="s">
        <v>317</v>
      </c>
      <c r="Q38" s="11" t="s">
        <v>318</v>
      </c>
      <c r="R38" s="11">
        <v>4259</v>
      </c>
      <c r="S38" s="11">
        <f>YEAR(Sheet1!$N38)</f>
        <v>2003</v>
      </c>
      <c r="T38" s="11">
        <f>WEEKNUM(K38)</f>
        <v>27</v>
      </c>
      <c r="U38" s="25"/>
      <c r="V38" s="22"/>
    </row>
    <row r="39" spans="1:22" x14ac:dyDescent="0.3">
      <c r="A39" s="13">
        <v>209</v>
      </c>
      <c r="B39" s="14" t="s">
        <v>38</v>
      </c>
      <c r="C39" s="14" t="s">
        <v>124</v>
      </c>
      <c r="D39" s="14">
        <v>1370</v>
      </c>
      <c r="E39" s="14">
        <v>1504</v>
      </c>
      <c r="F39" s="14">
        <v>10104</v>
      </c>
      <c r="G39" s="14" t="s">
        <v>195</v>
      </c>
      <c r="H39" s="14">
        <v>33</v>
      </c>
      <c r="I39" s="33">
        <v>114.59</v>
      </c>
      <c r="J39" s="37">
        <f t="shared" si="0"/>
        <v>3781.4700000000003</v>
      </c>
      <c r="K39" s="15">
        <v>37812</v>
      </c>
      <c r="L39" s="15" t="str">
        <f t="shared" si="1"/>
        <v>July</v>
      </c>
      <c r="M39" s="14" t="s">
        <v>270</v>
      </c>
      <c r="N39" s="15">
        <v>38292</v>
      </c>
      <c r="O39" s="14" t="s">
        <v>175</v>
      </c>
      <c r="P39" s="14" t="s">
        <v>319</v>
      </c>
      <c r="Q39" s="14" t="s">
        <v>298</v>
      </c>
      <c r="R39" s="14">
        <v>5992</v>
      </c>
      <c r="S39" s="14">
        <f>YEAR(Sheet1!$N39)</f>
        <v>2004</v>
      </c>
      <c r="T39" s="14">
        <f>WEEKNUM(K39)</f>
        <v>28</v>
      </c>
      <c r="U39" s="26"/>
      <c r="V39" s="23"/>
    </row>
    <row r="40" spans="1:22" x14ac:dyDescent="0.3">
      <c r="A40" s="10">
        <v>211</v>
      </c>
      <c r="B40" s="11" t="s">
        <v>39</v>
      </c>
      <c r="C40" s="11" t="s">
        <v>141</v>
      </c>
      <c r="D40" s="11">
        <v>1621</v>
      </c>
      <c r="E40" s="11">
        <v>1165</v>
      </c>
      <c r="F40" s="11">
        <v>10104</v>
      </c>
      <c r="G40" s="11" t="s">
        <v>196</v>
      </c>
      <c r="H40" s="11">
        <v>32</v>
      </c>
      <c r="I40" s="34">
        <v>53.31</v>
      </c>
      <c r="J40" s="38">
        <f t="shared" si="0"/>
        <v>1705.92</v>
      </c>
      <c r="K40" s="12">
        <v>37809</v>
      </c>
      <c r="L40" s="12" t="str">
        <f t="shared" si="1"/>
        <v>July</v>
      </c>
      <c r="M40" s="11" t="s">
        <v>270</v>
      </c>
      <c r="N40" s="12">
        <v>38491</v>
      </c>
      <c r="O40" s="11" t="s">
        <v>200</v>
      </c>
      <c r="P40" s="11" t="s">
        <v>320</v>
      </c>
      <c r="Q40" s="11" t="s">
        <v>298</v>
      </c>
      <c r="R40" s="11">
        <v>3913</v>
      </c>
      <c r="S40" s="11">
        <f>YEAR(Sheet1!$N40)</f>
        <v>2005</v>
      </c>
      <c r="T40" s="11">
        <f>WEEKNUM(K40)</f>
        <v>28</v>
      </c>
      <c r="U40" s="25"/>
      <c r="V40" s="22"/>
    </row>
    <row r="41" spans="1:22" x14ac:dyDescent="0.3">
      <c r="A41" s="13">
        <v>216</v>
      </c>
      <c r="B41" s="14" t="s">
        <v>40</v>
      </c>
      <c r="C41" s="14" t="s">
        <v>130</v>
      </c>
      <c r="D41" s="14">
        <v>1702</v>
      </c>
      <c r="E41" s="14">
        <v>1166</v>
      </c>
      <c r="F41" s="14">
        <v>10105</v>
      </c>
      <c r="G41" s="14" t="s">
        <v>197</v>
      </c>
      <c r="H41" s="14">
        <v>50</v>
      </c>
      <c r="I41" s="33">
        <v>127.84</v>
      </c>
      <c r="J41" s="37">
        <f t="shared" si="0"/>
        <v>6392</v>
      </c>
      <c r="K41" s="15">
        <v>37818</v>
      </c>
      <c r="L41" s="15" t="str">
        <f t="shared" si="1"/>
        <v>July</v>
      </c>
      <c r="M41" s="14" t="s">
        <v>270</v>
      </c>
      <c r="N41" s="15">
        <v>38016</v>
      </c>
      <c r="O41" s="14" t="s">
        <v>188</v>
      </c>
      <c r="P41" s="14" t="s">
        <v>321</v>
      </c>
      <c r="Q41" s="14" t="s">
        <v>279</v>
      </c>
      <c r="R41" s="14">
        <v>8347</v>
      </c>
      <c r="S41" s="14">
        <f>YEAR(Sheet1!$N41)</f>
        <v>2004</v>
      </c>
      <c r="T41" s="14">
        <f>WEEKNUM(K41)</f>
        <v>29</v>
      </c>
      <c r="U41" s="26"/>
      <c r="V41" s="23"/>
    </row>
    <row r="42" spans="1:22" x14ac:dyDescent="0.3">
      <c r="A42" s="10">
        <v>219</v>
      </c>
      <c r="B42" s="11" t="s">
        <v>41</v>
      </c>
      <c r="C42" s="11" t="s">
        <v>125</v>
      </c>
      <c r="D42" s="11">
        <v>1166</v>
      </c>
      <c r="E42" s="11">
        <v>1501</v>
      </c>
      <c r="F42" s="11">
        <v>10105</v>
      </c>
      <c r="G42" s="11" t="s">
        <v>198</v>
      </c>
      <c r="H42" s="11">
        <v>41</v>
      </c>
      <c r="I42" s="34">
        <v>205.72</v>
      </c>
      <c r="J42" s="38">
        <f t="shared" si="0"/>
        <v>8434.52</v>
      </c>
      <c r="K42" s="12">
        <v>37826</v>
      </c>
      <c r="L42" s="12" t="str">
        <f t="shared" si="1"/>
        <v>July</v>
      </c>
      <c r="M42" s="11" t="s">
        <v>270</v>
      </c>
      <c r="N42" s="12">
        <v>38352</v>
      </c>
      <c r="O42" s="11" t="s">
        <v>322</v>
      </c>
      <c r="P42" s="11" t="s">
        <v>323</v>
      </c>
      <c r="Q42" s="11" t="s">
        <v>279</v>
      </c>
      <c r="R42" s="11">
        <v>7733</v>
      </c>
      <c r="S42" s="11">
        <f>YEAR(Sheet1!$N42)</f>
        <v>2004</v>
      </c>
      <c r="T42" s="11">
        <f>WEEKNUM(K42)</f>
        <v>30</v>
      </c>
      <c r="U42" s="25"/>
      <c r="V42" s="22"/>
    </row>
    <row r="43" spans="1:22" x14ac:dyDescent="0.3">
      <c r="A43" s="13">
        <v>223</v>
      </c>
      <c r="B43" s="14" t="s">
        <v>42</v>
      </c>
      <c r="C43" s="14" t="s">
        <v>129</v>
      </c>
      <c r="D43" s="14">
        <v>1165</v>
      </c>
      <c r="E43" s="14">
        <v>1370</v>
      </c>
      <c r="F43" s="14">
        <v>10105</v>
      </c>
      <c r="G43" s="14" t="s">
        <v>199</v>
      </c>
      <c r="H43" s="14">
        <v>29</v>
      </c>
      <c r="I43" s="33">
        <v>141.88</v>
      </c>
      <c r="J43" s="37">
        <f t="shared" si="0"/>
        <v>4114.5199999999995</v>
      </c>
      <c r="K43" s="15">
        <v>37834</v>
      </c>
      <c r="L43" s="15" t="str">
        <f t="shared" si="1"/>
        <v>August</v>
      </c>
      <c r="M43" s="14" t="s">
        <v>270</v>
      </c>
      <c r="N43" s="15">
        <v>38436</v>
      </c>
      <c r="O43" s="14" t="s">
        <v>201</v>
      </c>
      <c r="P43" s="14" t="s">
        <v>324</v>
      </c>
      <c r="Q43" s="14" t="s">
        <v>325</v>
      </c>
      <c r="R43" s="14">
        <v>6450</v>
      </c>
      <c r="S43" s="14">
        <f>YEAR(Sheet1!$N43)</f>
        <v>2005</v>
      </c>
      <c r="T43" s="14">
        <f>WEEKNUM(K43)</f>
        <v>31</v>
      </c>
      <c r="U43" s="26"/>
      <c r="V43" s="23"/>
    </row>
    <row r="44" spans="1:22" x14ac:dyDescent="0.3">
      <c r="A44" s="10">
        <v>227</v>
      </c>
      <c r="B44" s="11" t="s">
        <v>43</v>
      </c>
      <c r="C44" s="11" t="s">
        <v>132</v>
      </c>
      <c r="D44" s="11">
        <v>1401</v>
      </c>
      <c r="E44" s="11">
        <v>1401</v>
      </c>
      <c r="F44" s="11">
        <v>10105</v>
      </c>
      <c r="G44" s="11" t="s">
        <v>200</v>
      </c>
      <c r="H44" s="11">
        <v>22</v>
      </c>
      <c r="I44" s="34">
        <v>136.59</v>
      </c>
      <c r="J44" s="38">
        <f t="shared" si="0"/>
        <v>3004.98</v>
      </c>
      <c r="K44" s="12">
        <v>37841</v>
      </c>
      <c r="L44" s="12" t="str">
        <f t="shared" si="1"/>
        <v>August</v>
      </c>
      <c r="M44" s="11" t="s">
        <v>270</v>
      </c>
      <c r="N44" s="12">
        <v>38429</v>
      </c>
      <c r="O44" s="11" t="s">
        <v>243</v>
      </c>
      <c r="P44" s="11" t="s">
        <v>326</v>
      </c>
      <c r="Q44" s="11" t="s">
        <v>279</v>
      </c>
      <c r="R44" s="11">
        <v>1917</v>
      </c>
      <c r="S44" s="11">
        <f>YEAR(Sheet1!$N44)</f>
        <v>2005</v>
      </c>
      <c r="T44" s="11">
        <f>WEEKNUM(K44)</f>
        <v>32</v>
      </c>
      <c r="U44" s="25"/>
      <c r="V44" s="22"/>
    </row>
    <row r="45" spans="1:22" x14ac:dyDescent="0.3">
      <c r="A45" s="13">
        <v>233</v>
      </c>
      <c r="B45" s="14" t="s">
        <v>44</v>
      </c>
      <c r="C45" s="14" t="s">
        <v>140</v>
      </c>
      <c r="D45" s="14">
        <v>1286</v>
      </c>
      <c r="E45" s="14">
        <v>1166</v>
      </c>
      <c r="F45" s="14">
        <v>10105</v>
      </c>
      <c r="G45" s="14" t="s">
        <v>201</v>
      </c>
      <c r="H45" s="14">
        <v>38</v>
      </c>
      <c r="I45" s="33">
        <v>87.73</v>
      </c>
      <c r="J45" s="37">
        <f t="shared" si="0"/>
        <v>3333.7400000000002</v>
      </c>
      <c r="K45" s="15">
        <v>37843</v>
      </c>
      <c r="L45" s="15" t="str">
        <f t="shared" si="1"/>
        <v>August</v>
      </c>
      <c r="M45" s="14" t="s">
        <v>270</v>
      </c>
      <c r="N45" s="15">
        <v>37920</v>
      </c>
      <c r="O45" s="14" t="s">
        <v>176</v>
      </c>
      <c r="P45" s="14" t="s">
        <v>327</v>
      </c>
      <c r="Q45" s="14" t="s">
        <v>298</v>
      </c>
      <c r="R45" s="14">
        <v>7913</v>
      </c>
      <c r="S45" s="14">
        <f>YEAR(Sheet1!$N45)</f>
        <v>2003</v>
      </c>
      <c r="T45" s="14">
        <f>WEEKNUM(K45)</f>
        <v>33</v>
      </c>
      <c r="U45" s="26"/>
      <c r="V45" s="23"/>
    </row>
    <row r="46" spans="1:22" x14ac:dyDescent="0.3">
      <c r="A46" s="10">
        <v>237</v>
      </c>
      <c r="B46" s="11" t="s">
        <v>45</v>
      </c>
      <c r="C46" s="11" t="s">
        <v>130</v>
      </c>
      <c r="D46" s="11">
        <v>1370</v>
      </c>
      <c r="E46" s="11">
        <v>1165</v>
      </c>
      <c r="F46" s="11">
        <v>10105</v>
      </c>
      <c r="G46" s="11" t="s">
        <v>202</v>
      </c>
      <c r="H46" s="11">
        <v>41</v>
      </c>
      <c r="I46" s="34">
        <v>75.48</v>
      </c>
      <c r="J46" s="38">
        <f t="shared" si="0"/>
        <v>3094.6800000000003</v>
      </c>
      <c r="K46" s="12">
        <v>37846</v>
      </c>
      <c r="L46" s="12" t="str">
        <f t="shared" si="1"/>
        <v>August</v>
      </c>
      <c r="M46" s="11" t="s">
        <v>270</v>
      </c>
      <c r="N46" s="12">
        <v>37677</v>
      </c>
      <c r="O46" s="11" t="s">
        <v>244</v>
      </c>
      <c r="P46" s="11" t="s">
        <v>328</v>
      </c>
      <c r="Q46" s="11" t="s">
        <v>279</v>
      </c>
      <c r="R46" s="11">
        <v>9127</v>
      </c>
      <c r="S46" s="11">
        <f>YEAR(Sheet1!$N46)</f>
        <v>2003</v>
      </c>
      <c r="T46" s="11">
        <f>WEEKNUM(K46)</f>
        <v>33</v>
      </c>
      <c r="U46" s="25"/>
      <c r="V46" s="22"/>
    </row>
    <row r="47" spans="1:22" x14ac:dyDescent="0.3">
      <c r="A47" s="13">
        <v>239</v>
      </c>
      <c r="B47" s="14" t="s">
        <v>46</v>
      </c>
      <c r="C47" s="14" t="s">
        <v>125</v>
      </c>
      <c r="D47" s="14">
        <v>1166</v>
      </c>
      <c r="E47" s="14">
        <v>1216</v>
      </c>
      <c r="F47" s="14">
        <v>10105</v>
      </c>
      <c r="G47" s="14" t="s">
        <v>203</v>
      </c>
      <c r="H47" s="14">
        <v>43</v>
      </c>
      <c r="I47" s="33">
        <v>117.97</v>
      </c>
      <c r="J47" s="37">
        <f t="shared" si="0"/>
        <v>5072.71</v>
      </c>
      <c r="K47" s="15">
        <v>37858</v>
      </c>
      <c r="L47" s="15" t="str">
        <f t="shared" si="1"/>
        <v>August</v>
      </c>
      <c r="M47" s="14" t="s">
        <v>270</v>
      </c>
      <c r="N47" s="15">
        <v>37964</v>
      </c>
      <c r="O47" s="14" t="s">
        <v>257</v>
      </c>
      <c r="P47" s="14" t="s">
        <v>329</v>
      </c>
      <c r="Q47" s="14" t="s">
        <v>279</v>
      </c>
      <c r="R47" s="14">
        <v>8990</v>
      </c>
      <c r="S47" s="14">
        <f>YEAR(Sheet1!$N47)</f>
        <v>2003</v>
      </c>
      <c r="T47" s="14">
        <f>WEEKNUM(K47)</f>
        <v>35</v>
      </c>
      <c r="U47" s="26"/>
      <c r="V47" s="23"/>
    </row>
    <row r="48" spans="1:22" x14ac:dyDescent="0.3">
      <c r="A48" s="10">
        <v>240</v>
      </c>
      <c r="B48" s="11" t="s">
        <v>47</v>
      </c>
      <c r="C48" s="11" t="s">
        <v>138</v>
      </c>
      <c r="D48" s="11">
        <v>1501</v>
      </c>
      <c r="E48" s="11">
        <v>1789</v>
      </c>
      <c r="F48" s="11">
        <v>10105</v>
      </c>
      <c r="G48" s="11" t="s">
        <v>204</v>
      </c>
      <c r="H48" s="11">
        <v>44</v>
      </c>
      <c r="I48" s="34">
        <v>73.459999999999994</v>
      </c>
      <c r="J48" s="38">
        <f t="shared" si="0"/>
        <v>3232.24</v>
      </c>
      <c r="K48" s="12">
        <v>37867</v>
      </c>
      <c r="L48" s="12" t="str">
        <f t="shared" si="1"/>
        <v>September</v>
      </c>
      <c r="M48" s="11" t="s">
        <v>270</v>
      </c>
      <c r="N48" s="12">
        <v>38177</v>
      </c>
      <c r="O48" s="11" t="s">
        <v>245</v>
      </c>
      <c r="P48" s="11" t="s">
        <v>330</v>
      </c>
      <c r="Q48" s="11" t="s">
        <v>277</v>
      </c>
      <c r="R48" s="11">
        <v>7689</v>
      </c>
      <c r="S48" s="11">
        <f>YEAR(Sheet1!$N48)</f>
        <v>2004</v>
      </c>
      <c r="T48" s="11">
        <f>WEEKNUM(K48)</f>
        <v>36</v>
      </c>
      <c r="U48" s="25"/>
      <c r="V48" s="22"/>
    </row>
    <row r="49" spans="1:22" x14ac:dyDescent="0.3">
      <c r="A49" s="13">
        <v>242</v>
      </c>
      <c r="B49" s="14" t="s">
        <v>48</v>
      </c>
      <c r="C49" s="14" t="s">
        <v>124</v>
      </c>
      <c r="D49" s="14">
        <v>1370</v>
      </c>
      <c r="E49" s="14">
        <v>1702</v>
      </c>
      <c r="F49" s="14">
        <v>10105</v>
      </c>
      <c r="G49" s="14" t="s">
        <v>205</v>
      </c>
      <c r="H49" s="14">
        <v>50</v>
      </c>
      <c r="I49" s="33">
        <v>75.47</v>
      </c>
      <c r="J49" s="37">
        <f t="shared" si="0"/>
        <v>3773.5</v>
      </c>
      <c r="K49" s="15">
        <v>37869</v>
      </c>
      <c r="L49" s="15" t="str">
        <f t="shared" si="1"/>
        <v>September</v>
      </c>
      <c r="M49" s="14" t="s">
        <v>270</v>
      </c>
      <c r="N49" s="15">
        <v>38215</v>
      </c>
      <c r="O49" s="14" t="s">
        <v>215</v>
      </c>
      <c r="P49" s="14" t="s">
        <v>331</v>
      </c>
      <c r="Q49" s="14" t="s">
        <v>298</v>
      </c>
      <c r="R49" s="14">
        <v>2378</v>
      </c>
      <c r="S49" s="14">
        <f>YEAR(Sheet1!$N49)</f>
        <v>2004</v>
      </c>
      <c r="T49" s="14">
        <f>WEEKNUM(K49)</f>
        <v>36</v>
      </c>
      <c r="U49" s="26"/>
      <c r="V49" s="23"/>
    </row>
    <row r="50" spans="1:22" x14ac:dyDescent="0.3">
      <c r="A50" s="10">
        <v>247</v>
      </c>
      <c r="B50" s="11" t="s">
        <v>49</v>
      </c>
      <c r="C50" s="11" t="s">
        <v>129</v>
      </c>
      <c r="D50" s="11">
        <v>1611</v>
      </c>
      <c r="E50" s="11">
        <v>1323</v>
      </c>
      <c r="F50" s="11">
        <v>10105</v>
      </c>
      <c r="G50" s="11" t="s">
        <v>206</v>
      </c>
      <c r="H50" s="11">
        <v>41</v>
      </c>
      <c r="I50" s="34">
        <v>54</v>
      </c>
      <c r="J50" s="38">
        <f t="shared" si="0"/>
        <v>2214</v>
      </c>
      <c r="K50" s="12">
        <v>37875</v>
      </c>
      <c r="L50" s="12" t="str">
        <f t="shared" si="1"/>
        <v>September</v>
      </c>
      <c r="M50" s="11" t="s">
        <v>270</v>
      </c>
      <c r="N50" s="12">
        <v>38124</v>
      </c>
      <c r="O50" s="11" t="s">
        <v>189</v>
      </c>
      <c r="P50" s="11" t="s">
        <v>332</v>
      </c>
      <c r="Q50" s="11" t="s">
        <v>279</v>
      </c>
      <c r="R50" s="11">
        <v>5545</v>
      </c>
      <c r="S50" s="11">
        <f>YEAR(Sheet1!$N50)</f>
        <v>2004</v>
      </c>
      <c r="T50" s="11">
        <f>WEEKNUM(K50)</f>
        <v>37</v>
      </c>
      <c r="U50" s="25"/>
      <c r="V50" s="22"/>
    </row>
    <row r="51" spans="1:22" x14ac:dyDescent="0.3">
      <c r="A51" s="13">
        <v>249</v>
      </c>
      <c r="B51" s="14" t="s">
        <v>50</v>
      </c>
      <c r="C51" s="14" t="s">
        <v>142</v>
      </c>
      <c r="D51" s="14">
        <v>1401</v>
      </c>
      <c r="E51" s="14">
        <v>1165</v>
      </c>
      <c r="F51" s="14">
        <v>10105</v>
      </c>
      <c r="G51" s="14" t="s">
        <v>207</v>
      </c>
      <c r="H51" s="14">
        <v>29</v>
      </c>
      <c r="I51" s="33">
        <v>86.61</v>
      </c>
      <c r="J51" s="37">
        <f t="shared" si="0"/>
        <v>2511.69</v>
      </c>
      <c r="K51" s="15">
        <v>37876</v>
      </c>
      <c r="L51" s="15" t="str">
        <f t="shared" si="1"/>
        <v>September</v>
      </c>
      <c r="M51" s="14" t="s">
        <v>270</v>
      </c>
      <c r="N51" s="15">
        <v>38333</v>
      </c>
      <c r="O51" s="14" t="s">
        <v>160</v>
      </c>
      <c r="P51" s="14" t="s">
        <v>333</v>
      </c>
      <c r="Q51" s="14" t="s">
        <v>298</v>
      </c>
      <c r="R51" s="14">
        <v>6553</v>
      </c>
      <c r="S51" s="14">
        <f>YEAR(Sheet1!$N51)</f>
        <v>2004</v>
      </c>
      <c r="T51" s="14">
        <f>WEEKNUM(K51)</f>
        <v>37</v>
      </c>
      <c r="U51" s="26"/>
      <c r="V51" s="23"/>
    </row>
    <row r="52" spans="1:22" x14ac:dyDescent="0.3">
      <c r="A52" s="10">
        <v>250</v>
      </c>
      <c r="B52" s="11" t="s">
        <v>51</v>
      </c>
      <c r="C52" s="11" t="s">
        <v>124</v>
      </c>
      <c r="D52" s="11">
        <v>1337</v>
      </c>
      <c r="E52" s="11">
        <v>1501</v>
      </c>
      <c r="F52" s="11">
        <v>10105</v>
      </c>
      <c r="G52" s="11" t="s">
        <v>208</v>
      </c>
      <c r="H52" s="11">
        <v>31</v>
      </c>
      <c r="I52" s="34">
        <v>60.72</v>
      </c>
      <c r="J52" s="38">
        <f t="shared" si="0"/>
        <v>1882.32</v>
      </c>
      <c r="K52" s="12">
        <v>37883</v>
      </c>
      <c r="L52" s="12" t="str">
        <f t="shared" si="1"/>
        <v>September</v>
      </c>
      <c r="M52" s="11" t="s">
        <v>270</v>
      </c>
      <c r="N52" s="12">
        <v>37720</v>
      </c>
      <c r="O52" s="11" t="s">
        <v>202</v>
      </c>
      <c r="P52" s="11" t="s">
        <v>334</v>
      </c>
      <c r="Q52" s="11" t="s">
        <v>298</v>
      </c>
      <c r="R52" s="11">
        <v>8290</v>
      </c>
      <c r="S52" s="11">
        <f>YEAR(Sheet1!$N52)</f>
        <v>2003</v>
      </c>
      <c r="T52" s="11">
        <f>WEEKNUM(K52)</f>
        <v>38</v>
      </c>
      <c r="U52" s="25"/>
      <c r="V52" s="22"/>
    </row>
    <row r="53" spans="1:22" x14ac:dyDescent="0.3">
      <c r="A53" s="13">
        <v>256</v>
      </c>
      <c r="B53" s="14" t="s">
        <v>52</v>
      </c>
      <c r="C53" s="14" t="s">
        <v>124</v>
      </c>
      <c r="D53" s="14">
        <v>1370</v>
      </c>
      <c r="E53" s="14">
        <v>1188</v>
      </c>
      <c r="F53" s="14">
        <v>10105</v>
      </c>
      <c r="G53" s="14" t="s">
        <v>209</v>
      </c>
      <c r="H53" s="14">
        <v>39</v>
      </c>
      <c r="I53" s="33">
        <v>92.16</v>
      </c>
      <c r="J53" s="37">
        <f t="shared" si="0"/>
        <v>3594.24</v>
      </c>
      <c r="K53" s="15">
        <v>37885</v>
      </c>
      <c r="L53" s="15" t="str">
        <f t="shared" si="1"/>
        <v>September</v>
      </c>
      <c r="M53" s="14" t="s">
        <v>270</v>
      </c>
      <c r="N53" s="15">
        <v>38171</v>
      </c>
      <c r="O53" s="14" t="s">
        <v>177</v>
      </c>
      <c r="P53" s="14" t="s">
        <v>335</v>
      </c>
      <c r="Q53" s="14" t="s">
        <v>287</v>
      </c>
      <c r="R53" s="14">
        <v>3128</v>
      </c>
      <c r="S53" s="14">
        <f>YEAR(Sheet1!$N53)</f>
        <v>2004</v>
      </c>
      <c r="T53" s="14">
        <f>WEEKNUM(K53)</f>
        <v>39</v>
      </c>
      <c r="U53" s="26"/>
      <c r="V53" s="23"/>
    </row>
    <row r="54" spans="1:22" x14ac:dyDescent="0.3">
      <c r="A54" s="10">
        <v>259</v>
      </c>
      <c r="B54" s="11" t="s">
        <v>53</v>
      </c>
      <c r="C54" s="11" t="s">
        <v>129</v>
      </c>
      <c r="D54" s="11">
        <v>1504</v>
      </c>
      <c r="E54" s="11">
        <v>1612</v>
      </c>
      <c r="F54" s="11">
        <v>10105</v>
      </c>
      <c r="G54" s="11" t="s">
        <v>210</v>
      </c>
      <c r="H54" s="11">
        <v>22</v>
      </c>
      <c r="I54" s="34">
        <v>99.31</v>
      </c>
      <c r="J54" s="38">
        <f t="shared" si="0"/>
        <v>2184.8200000000002</v>
      </c>
      <c r="K54" s="12">
        <v>37889</v>
      </c>
      <c r="L54" s="12" t="str">
        <f t="shared" si="1"/>
        <v>September</v>
      </c>
      <c r="M54" s="11" t="s">
        <v>270</v>
      </c>
      <c r="N54" s="12">
        <v>38103</v>
      </c>
      <c r="O54" s="11" t="s">
        <v>178</v>
      </c>
      <c r="P54" s="11" t="s">
        <v>336</v>
      </c>
      <c r="Q54" s="11" t="s">
        <v>298</v>
      </c>
      <c r="R54" s="11">
        <v>6645</v>
      </c>
      <c r="S54" s="11">
        <f>YEAR(Sheet1!$N54)</f>
        <v>2004</v>
      </c>
      <c r="T54" s="11">
        <f>WEEKNUM(K54)</f>
        <v>39</v>
      </c>
      <c r="U54" s="25"/>
      <c r="V54" s="22"/>
    </row>
    <row r="55" spans="1:22" x14ac:dyDescent="0.3">
      <c r="A55" s="13">
        <v>260</v>
      </c>
      <c r="B55" s="14" t="s">
        <v>54</v>
      </c>
      <c r="C55" s="14" t="s">
        <v>140</v>
      </c>
      <c r="D55" s="14">
        <v>1323</v>
      </c>
      <c r="E55" s="14">
        <v>1370</v>
      </c>
      <c r="F55" s="14">
        <v>10105</v>
      </c>
      <c r="G55" s="14" t="s">
        <v>211</v>
      </c>
      <c r="H55" s="14">
        <v>25</v>
      </c>
      <c r="I55" s="33">
        <v>44.77</v>
      </c>
      <c r="J55" s="37">
        <f t="shared" si="0"/>
        <v>1119.25</v>
      </c>
      <c r="K55" s="15">
        <v>37892</v>
      </c>
      <c r="L55" s="15" t="str">
        <f t="shared" si="1"/>
        <v>September</v>
      </c>
      <c r="M55" s="14" t="s">
        <v>270</v>
      </c>
      <c r="N55" s="15">
        <v>38322</v>
      </c>
      <c r="O55" s="14" t="s">
        <v>246</v>
      </c>
      <c r="P55" s="14" t="s">
        <v>337</v>
      </c>
      <c r="Q55" s="14" t="s">
        <v>279</v>
      </c>
      <c r="R55" s="14">
        <v>1249</v>
      </c>
      <c r="S55" s="14">
        <f>YEAR(Sheet1!$N55)</f>
        <v>2004</v>
      </c>
      <c r="T55" s="14">
        <f>WEEKNUM(K55)</f>
        <v>40</v>
      </c>
      <c r="U55" s="26"/>
      <c r="V55" s="23"/>
    </row>
    <row r="56" spans="1:22" x14ac:dyDescent="0.3">
      <c r="A56" s="10">
        <v>273</v>
      </c>
      <c r="B56" s="11" t="s">
        <v>55</v>
      </c>
      <c r="C56" s="11" t="s">
        <v>129</v>
      </c>
      <c r="D56" s="11">
        <v>1216</v>
      </c>
      <c r="E56" s="11">
        <v>1621</v>
      </c>
      <c r="F56" s="11">
        <v>10106</v>
      </c>
      <c r="G56" s="11" t="s">
        <v>212</v>
      </c>
      <c r="H56" s="11">
        <v>36</v>
      </c>
      <c r="I56" s="34">
        <v>134.04</v>
      </c>
      <c r="J56" s="38">
        <f t="shared" si="0"/>
        <v>4825.4399999999996</v>
      </c>
      <c r="K56" s="12">
        <v>37896</v>
      </c>
      <c r="L56" s="12" t="str">
        <f t="shared" si="1"/>
        <v>October</v>
      </c>
      <c r="M56" s="11" t="s">
        <v>270</v>
      </c>
      <c r="N56" s="12">
        <v>37672</v>
      </c>
      <c r="O56" s="11" t="s">
        <v>260</v>
      </c>
      <c r="P56" s="11" t="s">
        <v>338</v>
      </c>
      <c r="Q56" s="11" t="s">
        <v>279</v>
      </c>
      <c r="R56" s="11">
        <v>3209</v>
      </c>
      <c r="S56" s="11">
        <f>YEAR(Sheet1!$N56)</f>
        <v>2003</v>
      </c>
      <c r="T56" s="11">
        <f>WEEKNUM(K56)</f>
        <v>40</v>
      </c>
      <c r="U56" s="25"/>
      <c r="V56" s="22"/>
    </row>
    <row r="57" spans="1:22" x14ac:dyDescent="0.3">
      <c r="A57" s="13">
        <v>276</v>
      </c>
      <c r="B57" s="14" t="s">
        <v>56</v>
      </c>
      <c r="C57" s="14" t="s">
        <v>126</v>
      </c>
      <c r="D57" s="14">
        <v>1611</v>
      </c>
      <c r="E57" s="14">
        <v>1702</v>
      </c>
      <c r="F57" s="14">
        <v>10106</v>
      </c>
      <c r="G57" s="14" t="s">
        <v>213</v>
      </c>
      <c r="H57" s="14">
        <v>34</v>
      </c>
      <c r="I57" s="33">
        <v>81.099999999999994</v>
      </c>
      <c r="J57" s="37">
        <f t="shared" si="0"/>
        <v>2757.3999999999996</v>
      </c>
      <c r="K57" s="15">
        <v>37900</v>
      </c>
      <c r="L57" s="15" t="str">
        <f t="shared" si="1"/>
        <v>October</v>
      </c>
      <c r="M57" s="14" t="s">
        <v>270</v>
      </c>
      <c r="N57" s="15">
        <v>38064</v>
      </c>
      <c r="O57" s="14" t="s">
        <v>261</v>
      </c>
      <c r="P57" s="14" t="s">
        <v>339</v>
      </c>
      <c r="Q57" s="14" t="s">
        <v>279</v>
      </c>
      <c r="R57" s="14">
        <v>1005</v>
      </c>
      <c r="S57" s="14">
        <f>YEAR(Sheet1!$N57)</f>
        <v>2004</v>
      </c>
      <c r="T57" s="14">
        <f>WEEKNUM(K57)</f>
        <v>41</v>
      </c>
      <c r="U57" s="26"/>
      <c r="V57" s="23"/>
    </row>
    <row r="58" spans="1:22" x14ac:dyDescent="0.3">
      <c r="A58" s="10">
        <v>278</v>
      </c>
      <c r="B58" s="11" t="s">
        <v>57</v>
      </c>
      <c r="C58" s="11" t="s">
        <v>142</v>
      </c>
      <c r="D58" s="11">
        <v>1401</v>
      </c>
      <c r="E58" s="11">
        <v>1166</v>
      </c>
      <c r="F58" s="11">
        <v>10106</v>
      </c>
      <c r="G58" s="11" t="s">
        <v>214</v>
      </c>
      <c r="H58" s="11">
        <v>41</v>
      </c>
      <c r="I58" s="34">
        <v>80.86</v>
      </c>
      <c r="J58" s="38">
        <f t="shared" si="0"/>
        <v>3315.2599999999998</v>
      </c>
      <c r="K58" s="12">
        <v>37902</v>
      </c>
      <c r="L58" s="12" t="str">
        <f t="shared" si="1"/>
        <v>October</v>
      </c>
      <c r="M58" s="11" t="s">
        <v>270</v>
      </c>
      <c r="N58" s="12">
        <v>38002</v>
      </c>
      <c r="O58" s="11" t="s">
        <v>190</v>
      </c>
      <c r="P58" s="11" t="s">
        <v>340</v>
      </c>
      <c r="Q58" s="11" t="s">
        <v>279</v>
      </c>
      <c r="R58" s="11">
        <v>4074</v>
      </c>
      <c r="S58" s="11">
        <f>YEAR(Sheet1!$N58)</f>
        <v>2004</v>
      </c>
      <c r="T58" s="11">
        <f>WEEKNUM(K58)</f>
        <v>41</v>
      </c>
      <c r="U58" s="25"/>
      <c r="V58" s="22"/>
    </row>
    <row r="59" spans="1:22" x14ac:dyDescent="0.3">
      <c r="A59" s="13">
        <v>282</v>
      </c>
      <c r="B59" s="14" t="s">
        <v>58</v>
      </c>
      <c r="C59" s="14" t="s">
        <v>126</v>
      </c>
      <c r="D59" s="14">
        <v>1611</v>
      </c>
      <c r="E59" s="14">
        <v>1165</v>
      </c>
      <c r="F59" s="14">
        <v>10106</v>
      </c>
      <c r="G59" s="14" t="s">
        <v>215</v>
      </c>
      <c r="H59" s="14">
        <v>41</v>
      </c>
      <c r="I59" s="33">
        <v>94.22</v>
      </c>
      <c r="J59" s="37">
        <f t="shared" si="0"/>
        <v>3863.02</v>
      </c>
      <c r="K59" s="15">
        <v>37903</v>
      </c>
      <c r="L59" s="15" t="str">
        <f t="shared" si="1"/>
        <v>October</v>
      </c>
      <c r="M59" s="14" t="s">
        <v>270</v>
      </c>
      <c r="N59" s="15">
        <v>37965</v>
      </c>
      <c r="O59" s="14" t="s">
        <v>235</v>
      </c>
      <c r="P59" s="14" t="s">
        <v>341</v>
      </c>
      <c r="Q59" s="14" t="s">
        <v>277</v>
      </c>
      <c r="R59" s="14">
        <v>7003</v>
      </c>
      <c r="S59" s="14">
        <f>YEAR(Sheet1!$N59)</f>
        <v>2003</v>
      </c>
      <c r="T59" s="14">
        <f>WEEKNUM(K59)</f>
        <v>41</v>
      </c>
      <c r="U59" s="26"/>
      <c r="V59" s="23"/>
    </row>
    <row r="60" spans="1:22" x14ac:dyDescent="0.3">
      <c r="A60" s="10">
        <v>286</v>
      </c>
      <c r="B60" s="11" t="s">
        <v>59</v>
      </c>
      <c r="C60" s="11" t="s">
        <v>125</v>
      </c>
      <c r="D60" s="11">
        <v>1216</v>
      </c>
      <c r="E60" s="11">
        <v>1401</v>
      </c>
      <c r="F60" s="11">
        <v>10106</v>
      </c>
      <c r="G60" s="11" t="s">
        <v>216</v>
      </c>
      <c r="H60" s="11">
        <v>28</v>
      </c>
      <c r="I60" s="34">
        <v>107.23</v>
      </c>
      <c r="J60" s="38">
        <f t="shared" si="0"/>
        <v>3002.44</v>
      </c>
      <c r="K60" s="12">
        <v>37904</v>
      </c>
      <c r="L60" s="12" t="str">
        <f t="shared" si="1"/>
        <v>October</v>
      </c>
      <c r="M60" s="11" t="s">
        <v>270</v>
      </c>
      <c r="N60" s="12">
        <v>37733</v>
      </c>
      <c r="O60" s="11" t="s">
        <v>262</v>
      </c>
      <c r="P60" s="11" t="s">
        <v>342</v>
      </c>
      <c r="Q60" s="11" t="s">
        <v>279</v>
      </c>
      <c r="R60" s="11">
        <v>8197</v>
      </c>
      <c r="S60" s="11">
        <f>YEAR(Sheet1!$N60)</f>
        <v>2003</v>
      </c>
      <c r="T60" s="11">
        <f>WEEKNUM(K60)</f>
        <v>41</v>
      </c>
      <c r="U60" s="25"/>
      <c r="V60" s="22"/>
    </row>
    <row r="61" spans="1:22" x14ac:dyDescent="0.3">
      <c r="A61" s="13">
        <v>293</v>
      </c>
      <c r="B61" s="14" t="s">
        <v>60</v>
      </c>
      <c r="C61" s="14" t="s">
        <v>143</v>
      </c>
      <c r="D61" s="14">
        <v>1501</v>
      </c>
      <c r="E61" s="14">
        <v>1286</v>
      </c>
      <c r="F61" s="14">
        <v>10106</v>
      </c>
      <c r="G61" s="14" t="s">
        <v>217</v>
      </c>
      <c r="H61" s="14">
        <v>49</v>
      </c>
      <c r="I61" s="33">
        <v>65.77</v>
      </c>
      <c r="J61" s="37">
        <f t="shared" si="0"/>
        <v>3222.73</v>
      </c>
      <c r="K61" s="15">
        <v>37904</v>
      </c>
      <c r="L61" s="15" t="str">
        <f t="shared" si="1"/>
        <v>October</v>
      </c>
      <c r="M61" s="14" t="s">
        <v>270</v>
      </c>
      <c r="N61" s="15">
        <v>38210</v>
      </c>
      <c r="O61" s="14" t="s">
        <v>216</v>
      </c>
      <c r="P61" s="14" t="s">
        <v>343</v>
      </c>
      <c r="Q61" s="14" t="s">
        <v>302</v>
      </c>
      <c r="R61" s="14">
        <v>3627</v>
      </c>
      <c r="S61" s="14">
        <f>YEAR(Sheet1!$N61)</f>
        <v>2004</v>
      </c>
      <c r="T61" s="14">
        <f>WEEKNUM(K61)</f>
        <v>41</v>
      </c>
      <c r="U61" s="26"/>
      <c r="V61" s="23"/>
    </row>
    <row r="62" spans="1:22" x14ac:dyDescent="0.3">
      <c r="A62" s="10">
        <v>298</v>
      </c>
      <c r="B62" s="11" t="s">
        <v>61</v>
      </c>
      <c r="C62" s="11" t="s">
        <v>143</v>
      </c>
      <c r="D62" s="11">
        <v>1702</v>
      </c>
      <c r="E62" s="11">
        <v>1370</v>
      </c>
      <c r="F62" s="11">
        <v>10106</v>
      </c>
      <c r="G62" s="11" t="s">
        <v>218</v>
      </c>
      <c r="H62" s="11">
        <v>31</v>
      </c>
      <c r="I62" s="34">
        <v>55.89</v>
      </c>
      <c r="J62" s="38">
        <f t="shared" si="0"/>
        <v>1732.59</v>
      </c>
      <c r="K62" s="12">
        <v>37905</v>
      </c>
      <c r="L62" s="12" t="str">
        <f t="shared" si="1"/>
        <v>October</v>
      </c>
      <c r="M62" s="11" t="s">
        <v>270</v>
      </c>
      <c r="N62" s="12">
        <v>37981</v>
      </c>
      <c r="O62" s="11" t="s">
        <v>164</v>
      </c>
      <c r="P62" s="11" t="s">
        <v>344</v>
      </c>
      <c r="Q62" s="11" t="s">
        <v>298</v>
      </c>
      <c r="R62" s="11">
        <v>7332</v>
      </c>
      <c r="S62" s="11">
        <f>YEAR(Sheet1!$N62)</f>
        <v>2003</v>
      </c>
      <c r="T62" s="11">
        <f>WEEKNUM(K62)</f>
        <v>41</v>
      </c>
      <c r="U62" s="25"/>
      <c r="V62" s="22"/>
    </row>
    <row r="63" spans="1:22" x14ac:dyDescent="0.3">
      <c r="A63" s="13">
        <v>299</v>
      </c>
      <c r="B63" s="14" t="s">
        <v>62</v>
      </c>
      <c r="C63" s="14" t="s">
        <v>134</v>
      </c>
      <c r="D63" s="14">
        <v>1504</v>
      </c>
      <c r="E63" s="14">
        <v>1166</v>
      </c>
      <c r="F63" s="14">
        <v>10106</v>
      </c>
      <c r="G63" s="14" t="s">
        <v>219</v>
      </c>
      <c r="H63" s="14">
        <v>50</v>
      </c>
      <c r="I63" s="33">
        <v>55.96</v>
      </c>
      <c r="J63" s="37">
        <f t="shared" si="0"/>
        <v>2798</v>
      </c>
      <c r="K63" s="15">
        <v>37911</v>
      </c>
      <c r="L63" s="15" t="str">
        <f t="shared" si="1"/>
        <v>October</v>
      </c>
      <c r="M63" s="14" t="s">
        <v>270</v>
      </c>
      <c r="N63" s="15">
        <v>38438</v>
      </c>
      <c r="O63" s="14" t="s">
        <v>236</v>
      </c>
      <c r="P63" s="14" t="s">
        <v>345</v>
      </c>
      <c r="Q63" s="14" t="s">
        <v>277</v>
      </c>
      <c r="R63" s="14">
        <v>15</v>
      </c>
      <c r="S63" s="14">
        <f>YEAR(Sheet1!$N63)</f>
        <v>2005</v>
      </c>
      <c r="T63" s="14">
        <f>WEEKNUM(K63)</f>
        <v>42</v>
      </c>
      <c r="U63" s="26"/>
      <c r="V63" s="23"/>
    </row>
    <row r="64" spans="1:22" x14ac:dyDescent="0.3">
      <c r="A64" s="10">
        <v>303</v>
      </c>
      <c r="B64" s="11" t="s">
        <v>63</v>
      </c>
      <c r="C64" s="11" t="s">
        <v>144</v>
      </c>
      <c r="D64" s="11">
        <v>1323</v>
      </c>
      <c r="E64" s="11">
        <v>1501</v>
      </c>
      <c r="F64" s="11">
        <v>10106</v>
      </c>
      <c r="G64" s="11" t="s">
        <v>220</v>
      </c>
      <c r="H64" s="11">
        <v>26</v>
      </c>
      <c r="I64" s="34">
        <v>71</v>
      </c>
      <c r="J64" s="38">
        <f t="shared" si="0"/>
        <v>1846</v>
      </c>
      <c r="K64" s="12">
        <v>37912</v>
      </c>
      <c r="L64" s="12" t="str">
        <f t="shared" si="1"/>
        <v>October</v>
      </c>
      <c r="M64" s="11" t="s">
        <v>270</v>
      </c>
      <c r="N64" s="12">
        <v>37977</v>
      </c>
      <c r="O64" s="11" t="s">
        <v>203</v>
      </c>
      <c r="P64" s="11" t="s">
        <v>346</v>
      </c>
      <c r="Q64" s="11" t="s">
        <v>318</v>
      </c>
      <c r="R64" s="11">
        <v>1898</v>
      </c>
      <c r="S64" s="11">
        <f>YEAR(Sheet1!$N64)</f>
        <v>2003</v>
      </c>
      <c r="T64" s="11">
        <f>WEEKNUM(K64)</f>
        <v>42</v>
      </c>
      <c r="U64" s="25"/>
      <c r="V64" s="22"/>
    </row>
    <row r="65" spans="1:22" x14ac:dyDescent="0.3">
      <c r="A65" s="13">
        <v>307</v>
      </c>
      <c r="B65" s="14" t="s">
        <v>64</v>
      </c>
      <c r="C65" s="14" t="s">
        <v>129</v>
      </c>
      <c r="D65" s="14">
        <v>1337</v>
      </c>
      <c r="E65" s="14">
        <v>1370</v>
      </c>
      <c r="F65" s="14">
        <v>10106</v>
      </c>
      <c r="G65" s="14" t="s">
        <v>221</v>
      </c>
      <c r="H65" s="14">
        <v>33</v>
      </c>
      <c r="I65" s="33">
        <v>65.349999999999994</v>
      </c>
      <c r="J65" s="37">
        <f t="shared" si="0"/>
        <v>2156.5499999999997</v>
      </c>
      <c r="K65" s="15">
        <v>37914</v>
      </c>
      <c r="L65" s="15" t="str">
        <f t="shared" si="1"/>
        <v>October</v>
      </c>
      <c r="M65" s="14" t="s">
        <v>270</v>
      </c>
      <c r="N65" s="15">
        <v>38194</v>
      </c>
      <c r="O65" s="14" t="s">
        <v>165</v>
      </c>
      <c r="P65" s="14" t="s">
        <v>347</v>
      </c>
      <c r="Q65" s="14" t="s">
        <v>298</v>
      </c>
      <c r="R65" s="14">
        <v>2847</v>
      </c>
      <c r="S65" s="14">
        <f>YEAR(Sheet1!$N65)</f>
        <v>2004</v>
      </c>
      <c r="T65" s="14">
        <f>WEEKNUM(K65)</f>
        <v>43</v>
      </c>
      <c r="U65" s="26"/>
      <c r="V65" s="23"/>
    </row>
    <row r="66" spans="1:22" x14ac:dyDescent="0.3">
      <c r="A66" s="10">
        <v>311</v>
      </c>
      <c r="B66" s="11" t="s">
        <v>65</v>
      </c>
      <c r="C66" s="11" t="s">
        <v>137</v>
      </c>
      <c r="D66" s="11">
        <v>1501</v>
      </c>
      <c r="E66" s="11">
        <v>1611</v>
      </c>
      <c r="F66" s="11">
        <v>10106</v>
      </c>
      <c r="G66" s="11" t="s">
        <v>222</v>
      </c>
      <c r="H66" s="11">
        <v>39</v>
      </c>
      <c r="I66" s="34">
        <v>35.78</v>
      </c>
      <c r="J66" s="38">
        <f t="shared" si="0"/>
        <v>1395.42</v>
      </c>
      <c r="K66" s="12">
        <v>37915</v>
      </c>
      <c r="L66" s="12" t="str">
        <f t="shared" si="1"/>
        <v>October</v>
      </c>
      <c r="M66" s="11" t="s">
        <v>271</v>
      </c>
      <c r="N66" s="12">
        <v>37790</v>
      </c>
      <c r="O66" s="11" t="s">
        <v>179</v>
      </c>
      <c r="P66" s="11" t="s">
        <v>348</v>
      </c>
      <c r="Q66" s="11" t="s">
        <v>287</v>
      </c>
      <c r="R66" s="11">
        <v>2327</v>
      </c>
      <c r="S66" s="11">
        <f>YEAR(Sheet1!$N66)</f>
        <v>2003</v>
      </c>
      <c r="T66" s="11">
        <f>WEEKNUM(K66)</f>
        <v>43</v>
      </c>
      <c r="U66" s="25"/>
      <c r="V66" s="22"/>
    </row>
    <row r="67" spans="1:22" x14ac:dyDescent="0.3">
      <c r="A67" s="13">
        <v>314</v>
      </c>
      <c r="B67" s="14" t="s">
        <v>66</v>
      </c>
      <c r="C67" s="14" t="s">
        <v>145</v>
      </c>
      <c r="D67" s="14">
        <v>1401</v>
      </c>
      <c r="E67" s="14">
        <v>1401</v>
      </c>
      <c r="F67" s="14">
        <v>10106</v>
      </c>
      <c r="G67" s="14" t="s">
        <v>223</v>
      </c>
      <c r="H67" s="14">
        <v>31</v>
      </c>
      <c r="I67" s="33">
        <v>91.34</v>
      </c>
      <c r="J67" s="37">
        <f t="shared" ref="J67:J123" si="2">H67*I67</f>
        <v>2831.54</v>
      </c>
      <c r="K67" s="15">
        <v>37916</v>
      </c>
      <c r="L67" s="15" t="str">
        <f t="shared" ref="L67:L123" si="3">TEXT(K67,"mmmm")</f>
        <v>October</v>
      </c>
      <c r="M67" s="14" t="s">
        <v>270</v>
      </c>
      <c r="N67" s="15">
        <v>38335</v>
      </c>
      <c r="O67" s="14" t="s">
        <v>247</v>
      </c>
      <c r="P67" s="14" t="s">
        <v>349</v>
      </c>
      <c r="Q67" s="14" t="s">
        <v>277</v>
      </c>
      <c r="R67" s="14">
        <v>6840</v>
      </c>
      <c r="S67" s="14">
        <f>YEAR(Sheet1!$N67)</f>
        <v>2004</v>
      </c>
      <c r="T67" s="14">
        <f>WEEKNUM(K67)</f>
        <v>43</v>
      </c>
      <c r="U67" s="26"/>
      <c r="V67" s="23"/>
    </row>
    <row r="68" spans="1:22" x14ac:dyDescent="0.3">
      <c r="A68" s="10">
        <v>319</v>
      </c>
      <c r="B68" s="11" t="s">
        <v>67</v>
      </c>
      <c r="C68" s="11" t="s">
        <v>125</v>
      </c>
      <c r="D68" s="11">
        <v>1323</v>
      </c>
      <c r="E68" s="11">
        <v>1337</v>
      </c>
      <c r="F68" s="11">
        <v>10106</v>
      </c>
      <c r="G68" s="11" t="s">
        <v>224</v>
      </c>
      <c r="H68" s="11">
        <v>30</v>
      </c>
      <c r="I68" s="34">
        <v>85.09</v>
      </c>
      <c r="J68" s="38">
        <f t="shared" si="2"/>
        <v>2552.7000000000003</v>
      </c>
      <c r="K68" s="12">
        <v>37915</v>
      </c>
      <c r="L68" s="12" t="str">
        <f t="shared" si="3"/>
        <v>October</v>
      </c>
      <c r="M68" s="11" t="s">
        <v>270</v>
      </c>
      <c r="N68" s="12">
        <v>38310</v>
      </c>
      <c r="O68" s="11" t="s">
        <v>263</v>
      </c>
      <c r="P68" s="11" t="s">
        <v>350</v>
      </c>
      <c r="Q68" s="11" t="s">
        <v>279</v>
      </c>
      <c r="R68" s="11">
        <v>2350</v>
      </c>
      <c r="S68" s="11">
        <f>YEAR(Sheet1!$N68)</f>
        <v>2004</v>
      </c>
      <c r="T68" s="11">
        <f>WEEKNUM(K68)</f>
        <v>43</v>
      </c>
      <c r="U68" s="25"/>
      <c r="V68" s="22"/>
    </row>
    <row r="69" spans="1:22" x14ac:dyDescent="0.3">
      <c r="A69" s="13">
        <v>320</v>
      </c>
      <c r="B69" s="14" t="s">
        <v>68</v>
      </c>
      <c r="C69" s="14" t="s">
        <v>125</v>
      </c>
      <c r="D69" s="14">
        <v>1188</v>
      </c>
      <c r="E69" s="14">
        <v>1370</v>
      </c>
      <c r="F69" s="14">
        <v>10106</v>
      </c>
      <c r="G69" s="14" t="s">
        <v>225</v>
      </c>
      <c r="H69" s="14">
        <v>34</v>
      </c>
      <c r="I69" s="33">
        <v>99.72</v>
      </c>
      <c r="J69" s="37">
        <f t="shared" si="2"/>
        <v>3390.48</v>
      </c>
      <c r="K69" s="15">
        <v>37917</v>
      </c>
      <c r="L69" s="15" t="str">
        <f t="shared" si="3"/>
        <v>October</v>
      </c>
      <c r="M69" s="14" t="s">
        <v>272</v>
      </c>
      <c r="N69" s="15">
        <v>38237</v>
      </c>
      <c r="O69" s="14" t="s">
        <v>191</v>
      </c>
      <c r="P69" s="14" t="s">
        <v>351</v>
      </c>
      <c r="Q69" s="14" t="s">
        <v>279</v>
      </c>
      <c r="R69" s="14">
        <v>2542</v>
      </c>
      <c r="S69" s="14">
        <f>YEAR(Sheet1!$N69)</f>
        <v>2004</v>
      </c>
      <c r="T69" s="14">
        <f>WEEKNUM(K69)</f>
        <v>43</v>
      </c>
      <c r="U69" s="26"/>
      <c r="V69" s="23"/>
    </row>
    <row r="70" spans="1:22" x14ac:dyDescent="0.3">
      <c r="A70" s="10">
        <v>321</v>
      </c>
      <c r="B70" s="11" t="s">
        <v>69</v>
      </c>
      <c r="C70" s="11" t="s">
        <v>125</v>
      </c>
      <c r="D70" s="11">
        <v>1165</v>
      </c>
      <c r="E70" s="11">
        <v>1166</v>
      </c>
      <c r="F70" s="11">
        <v>10106</v>
      </c>
      <c r="G70" s="11" t="s">
        <v>226</v>
      </c>
      <c r="H70" s="11">
        <v>32</v>
      </c>
      <c r="I70" s="34">
        <v>113.9</v>
      </c>
      <c r="J70" s="38">
        <f t="shared" si="2"/>
        <v>3644.8</v>
      </c>
      <c r="K70" s="12">
        <v>37922</v>
      </c>
      <c r="L70" s="12" t="str">
        <f t="shared" si="3"/>
        <v>October</v>
      </c>
      <c r="M70" s="11" t="s">
        <v>270</v>
      </c>
      <c r="N70" s="12">
        <v>38305</v>
      </c>
      <c r="O70" s="11" t="s">
        <v>217</v>
      </c>
      <c r="P70" s="11" t="s">
        <v>352</v>
      </c>
      <c r="Q70" s="11" t="s">
        <v>302</v>
      </c>
      <c r="R70" s="11">
        <v>5942</v>
      </c>
      <c r="S70" s="11">
        <f>YEAR(Sheet1!$N70)</f>
        <v>2004</v>
      </c>
      <c r="T70" s="11">
        <f>WEEKNUM(K70)</f>
        <v>44</v>
      </c>
      <c r="U70" s="25"/>
      <c r="V70" s="22"/>
    </row>
    <row r="71" spans="1:22" x14ac:dyDescent="0.3">
      <c r="A71" s="13">
        <v>323</v>
      </c>
      <c r="B71" s="14" t="s">
        <v>70</v>
      </c>
      <c r="C71" s="14" t="s">
        <v>146</v>
      </c>
      <c r="D71" s="14">
        <v>1612</v>
      </c>
      <c r="E71" s="14">
        <v>1611</v>
      </c>
      <c r="F71" s="14">
        <v>10106</v>
      </c>
      <c r="G71" s="14" t="s">
        <v>227</v>
      </c>
      <c r="H71" s="14">
        <v>44</v>
      </c>
      <c r="I71" s="33">
        <v>76</v>
      </c>
      <c r="J71" s="37">
        <f t="shared" si="2"/>
        <v>3344</v>
      </c>
      <c r="K71" s="15">
        <v>37929</v>
      </c>
      <c r="L71" s="15" t="str">
        <f t="shared" si="3"/>
        <v>November</v>
      </c>
      <c r="M71" s="14" t="s">
        <v>270</v>
      </c>
      <c r="N71" s="15">
        <v>37943</v>
      </c>
      <c r="O71" s="14" t="s">
        <v>264</v>
      </c>
      <c r="P71" s="14" t="s">
        <v>353</v>
      </c>
      <c r="Q71" s="14" t="s">
        <v>279</v>
      </c>
      <c r="R71" s="14">
        <v>1452</v>
      </c>
      <c r="S71" s="14">
        <f>YEAR(Sheet1!$N71)</f>
        <v>2003</v>
      </c>
      <c r="T71" s="14">
        <f>WEEKNUM(K71)</f>
        <v>45</v>
      </c>
      <c r="U71" s="26"/>
      <c r="V71" s="23"/>
    </row>
    <row r="72" spans="1:22" x14ac:dyDescent="0.3">
      <c r="A72" s="10">
        <v>324</v>
      </c>
      <c r="B72" s="11" t="s">
        <v>71</v>
      </c>
      <c r="C72" s="11" t="s">
        <v>138</v>
      </c>
      <c r="D72" s="11">
        <v>1501</v>
      </c>
      <c r="E72" s="11">
        <v>1370</v>
      </c>
      <c r="F72" s="11">
        <v>10106</v>
      </c>
      <c r="G72" s="11" t="s">
        <v>228</v>
      </c>
      <c r="H72" s="11">
        <v>48</v>
      </c>
      <c r="I72" s="34">
        <v>70.33</v>
      </c>
      <c r="J72" s="38">
        <f t="shared" si="2"/>
        <v>3375.84</v>
      </c>
      <c r="K72" s="12">
        <v>37929</v>
      </c>
      <c r="L72" s="12" t="str">
        <f t="shared" si="3"/>
        <v>November</v>
      </c>
      <c r="M72" s="11" t="s">
        <v>270</v>
      </c>
      <c r="N72" s="12">
        <v>38385</v>
      </c>
      <c r="O72" s="11" t="s">
        <v>258</v>
      </c>
      <c r="P72" s="11" t="s">
        <v>354</v>
      </c>
      <c r="Q72" s="11" t="s">
        <v>279</v>
      </c>
      <c r="R72" s="11">
        <v>7723</v>
      </c>
      <c r="S72" s="11">
        <f>YEAR(Sheet1!$N72)</f>
        <v>2005</v>
      </c>
      <c r="T72" s="11">
        <f>WEEKNUM(K72)</f>
        <v>45</v>
      </c>
      <c r="U72" s="25"/>
      <c r="V72" s="22"/>
    </row>
    <row r="73" spans="1:22" x14ac:dyDescent="0.3">
      <c r="A73" s="13">
        <v>328</v>
      </c>
      <c r="B73" s="14" t="s">
        <v>72</v>
      </c>
      <c r="C73" s="14" t="s">
        <v>125</v>
      </c>
      <c r="D73" s="14">
        <v>1323</v>
      </c>
      <c r="E73" s="14">
        <v>1504</v>
      </c>
      <c r="F73" s="14">
        <v>10106</v>
      </c>
      <c r="G73" s="14" t="s">
        <v>229</v>
      </c>
      <c r="H73" s="14">
        <v>48</v>
      </c>
      <c r="I73" s="33">
        <v>43.7</v>
      </c>
      <c r="J73" s="37">
        <f t="shared" si="2"/>
        <v>2097.6000000000004</v>
      </c>
      <c r="K73" s="15">
        <v>37930</v>
      </c>
      <c r="L73" s="15" t="str">
        <f t="shared" si="3"/>
        <v>November</v>
      </c>
      <c r="M73" s="14" t="s">
        <v>270</v>
      </c>
      <c r="N73" s="15">
        <v>37838</v>
      </c>
      <c r="O73" s="14" t="s">
        <v>204</v>
      </c>
      <c r="P73" s="14" t="s">
        <v>355</v>
      </c>
      <c r="Q73" s="14" t="s">
        <v>298</v>
      </c>
      <c r="R73" s="14">
        <v>9173</v>
      </c>
      <c r="S73" s="14">
        <f>YEAR(Sheet1!$N73)</f>
        <v>2003</v>
      </c>
      <c r="T73" s="14">
        <f>WEEKNUM(K73)</f>
        <v>45</v>
      </c>
      <c r="U73" s="26"/>
      <c r="V73" s="23"/>
    </row>
    <row r="74" spans="1:22" x14ac:dyDescent="0.3">
      <c r="A74" s="10">
        <v>333</v>
      </c>
      <c r="B74" s="11" t="s">
        <v>73</v>
      </c>
      <c r="C74" s="11" t="s">
        <v>126</v>
      </c>
      <c r="D74" s="11">
        <v>1611</v>
      </c>
      <c r="E74" s="11">
        <v>1165</v>
      </c>
      <c r="F74" s="11">
        <v>10107</v>
      </c>
      <c r="G74" s="11" t="s">
        <v>230</v>
      </c>
      <c r="H74" s="11">
        <v>30</v>
      </c>
      <c r="I74" s="34">
        <v>81.349999999999994</v>
      </c>
      <c r="J74" s="38">
        <f t="shared" si="2"/>
        <v>2440.5</v>
      </c>
      <c r="K74" s="12">
        <v>37930</v>
      </c>
      <c r="L74" s="12" t="str">
        <f t="shared" si="3"/>
        <v>November</v>
      </c>
      <c r="M74" s="11" t="s">
        <v>270</v>
      </c>
      <c r="N74" s="12">
        <v>38246</v>
      </c>
      <c r="O74" s="11" t="s">
        <v>265</v>
      </c>
      <c r="P74" s="11" t="s">
        <v>356</v>
      </c>
      <c r="Q74" s="11" t="s">
        <v>279</v>
      </c>
      <c r="R74" s="11">
        <v>4695</v>
      </c>
      <c r="S74" s="11">
        <f>YEAR(Sheet1!$N74)</f>
        <v>2004</v>
      </c>
      <c r="T74" s="11">
        <f>WEEKNUM(K74)</f>
        <v>45</v>
      </c>
      <c r="U74" s="25"/>
      <c r="V74" s="22"/>
    </row>
    <row r="75" spans="1:22" x14ac:dyDescent="0.3">
      <c r="A75" s="13">
        <v>334</v>
      </c>
      <c r="B75" s="14" t="s">
        <v>74</v>
      </c>
      <c r="C75" s="14" t="s">
        <v>137</v>
      </c>
      <c r="D75" s="14">
        <v>1501</v>
      </c>
      <c r="E75" s="14">
        <v>1188</v>
      </c>
      <c r="F75" s="14">
        <v>10107</v>
      </c>
      <c r="G75" s="14" t="s">
        <v>231</v>
      </c>
      <c r="H75" s="14">
        <v>39</v>
      </c>
      <c r="I75" s="33">
        <v>105.86</v>
      </c>
      <c r="J75" s="37">
        <f t="shared" si="2"/>
        <v>4128.54</v>
      </c>
      <c r="K75" s="15">
        <v>37930</v>
      </c>
      <c r="L75" s="15" t="str">
        <f t="shared" si="3"/>
        <v>November</v>
      </c>
      <c r="M75" s="14" t="s">
        <v>270</v>
      </c>
      <c r="N75" s="15">
        <v>38175</v>
      </c>
      <c r="O75" s="14" t="s">
        <v>248</v>
      </c>
      <c r="P75" s="14" t="s">
        <v>357</v>
      </c>
      <c r="Q75" s="14" t="s">
        <v>279</v>
      </c>
      <c r="R75" s="14">
        <v>7995</v>
      </c>
      <c r="S75" s="14">
        <f>YEAR(Sheet1!$N75)</f>
        <v>2004</v>
      </c>
      <c r="T75" s="14">
        <f>WEEKNUM(K75)</f>
        <v>45</v>
      </c>
      <c r="U75" s="26"/>
      <c r="V75" s="23"/>
    </row>
    <row r="76" spans="1:22" x14ac:dyDescent="0.3">
      <c r="A76" s="10">
        <v>335</v>
      </c>
      <c r="B76" s="11" t="s">
        <v>75</v>
      </c>
      <c r="C76" s="11" t="s">
        <v>129</v>
      </c>
      <c r="D76" s="11">
        <v>1789</v>
      </c>
      <c r="E76" s="11">
        <v>1504</v>
      </c>
      <c r="F76" s="11">
        <v>10107</v>
      </c>
      <c r="G76" s="11" t="s">
        <v>232</v>
      </c>
      <c r="H76" s="11">
        <v>27</v>
      </c>
      <c r="I76" s="34">
        <v>172.36</v>
      </c>
      <c r="J76" s="38">
        <f t="shared" si="2"/>
        <v>4653.72</v>
      </c>
      <c r="K76" s="12">
        <v>37931</v>
      </c>
      <c r="L76" s="12" t="str">
        <f t="shared" si="3"/>
        <v>November</v>
      </c>
      <c r="M76" s="11" t="s">
        <v>270</v>
      </c>
      <c r="N76" s="12">
        <v>38045</v>
      </c>
      <c r="O76" s="11" t="s">
        <v>218</v>
      </c>
      <c r="P76" s="11" t="s">
        <v>358</v>
      </c>
      <c r="Q76" s="11" t="s">
        <v>298</v>
      </c>
      <c r="R76" s="11">
        <v>2902</v>
      </c>
      <c r="S76" s="11">
        <f>YEAR(Sheet1!$N76)</f>
        <v>2004</v>
      </c>
      <c r="T76" s="11">
        <f>WEEKNUM(K76)</f>
        <v>45</v>
      </c>
      <c r="U76" s="25"/>
      <c r="V76" s="22"/>
    </row>
    <row r="77" spans="1:22" x14ac:dyDescent="0.3">
      <c r="A77" s="13">
        <v>339</v>
      </c>
      <c r="B77" s="14" t="s">
        <v>76</v>
      </c>
      <c r="C77" s="14" t="s">
        <v>125</v>
      </c>
      <c r="D77" s="14">
        <v>1188</v>
      </c>
      <c r="E77" s="14">
        <v>1165</v>
      </c>
      <c r="F77" s="14">
        <v>10107</v>
      </c>
      <c r="G77" s="14" t="s">
        <v>233</v>
      </c>
      <c r="H77" s="14">
        <v>21</v>
      </c>
      <c r="I77" s="33">
        <v>122</v>
      </c>
      <c r="J77" s="37">
        <f t="shared" si="2"/>
        <v>2562</v>
      </c>
      <c r="K77" s="15">
        <v>37931</v>
      </c>
      <c r="L77" s="15" t="str">
        <f t="shared" si="3"/>
        <v>November</v>
      </c>
      <c r="M77" s="14" t="s">
        <v>270</v>
      </c>
      <c r="N77" s="15">
        <v>38249</v>
      </c>
      <c r="O77" s="14" t="s">
        <v>266</v>
      </c>
      <c r="P77" s="14" t="s">
        <v>359</v>
      </c>
      <c r="Q77" s="14" t="s">
        <v>279</v>
      </c>
      <c r="R77" s="14">
        <v>9446</v>
      </c>
      <c r="S77" s="14">
        <f>YEAR(Sheet1!$N77)</f>
        <v>2004</v>
      </c>
      <c r="T77" s="14">
        <f>WEEKNUM(K77)</f>
        <v>45</v>
      </c>
      <c r="U77" s="26"/>
      <c r="V77" s="23"/>
    </row>
    <row r="78" spans="1:22" x14ac:dyDescent="0.3">
      <c r="A78" s="10">
        <v>344</v>
      </c>
      <c r="B78" s="11" t="s">
        <v>77</v>
      </c>
      <c r="C78" s="11" t="s">
        <v>130</v>
      </c>
      <c r="D78" s="11">
        <v>1702</v>
      </c>
      <c r="E78" s="11">
        <v>1323</v>
      </c>
      <c r="F78" s="11">
        <v>10107</v>
      </c>
      <c r="G78" s="11" t="s">
        <v>234</v>
      </c>
      <c r="H78" s="11">
        <v>29</v>
      </c>
      <c r="I78" s="34">
        <v>52.7</v>
      </c>
      <c r="J78" s="38">
        <f t="shared" si="2"/>
        <v>1528.3000000000002</v>
      </c>
      <c r="K78" s="12">
        <v>37931</v>
      </c>
      <c r="L78" s="12" t="str">
        <f t="shared" si="3"/>
        <v>November</v>
      </c>
      <c r="M78" s="11" t="s">
        <v>270</v>
      </c>
      <c r="N78" s="12">
        <v>37958</v>
      </c>
      <c r="O78" s="11" t="s">
        <v>205</v>
      </c>
      <c r="P78" s="11" t="s">
        <v>360</v>
      </c>
      <c r="Q78" s="11" t="s">
        <v>298</v>
      </c>
      <c r="R78" s="11">
        <v>6621</v>
      </c>
      <c r="S78" s="11">
        <f>YEAR(Sheet1!$N78)</f>
        <v>2003</v>
      </c>
      <c r="T78" s="11">
        <f>WEEKNUM(K78)</f>
        <v>45</v>
      </c>
      <c r="U78" s="25"/>
      <c r="V78" s="22"/>
    </row>
    <row r="79" spans="1:22" x14ac:dyDescent="0.3">
      <c r="A79" s="13">
        <v>347</v>
      </c>
      <c r="B79" s="14" t="s">
        <v>78</v>
      </c>
      <c r="C79" s="14" t="s">
        <v>125</v>
      </c>
      <c r="D79" s="14">
        <v>1166</v>
      </c>
      <c r="E79" s="14">
        <v>1370</v>
      </c>
      <c r="F79" s="14">
        <v>10107</v>
      </c>
      <c r="G79" s="14" t="s">
        <v>235</v>
      </c>
      <c r="H79" s="14">
        <v>25</v>
      </c>
      <c r="I79" s="33">
        <v>96.92</v>
      </c>
      <c r="J79" s="37">
        <f t="shared" si="2"/>
        <v>2423</v>
      </c>
      <c r="K79" s="15">
        <v>37932</v>
      </c>
      <c r="L79" s="15" t="str">
        <f t="shared" si="3"/>
        <v>November</v>
      </c>
      <c r="M79" s="14" t="s">
        <v>270</v>
      </c>
      <c r="N79" s="15">
        <v>38061</v>
      </c>
      <c r="O79" s="14" t="s">
        <v>249</v>
      </c>
      <c r="P79" s="14" t="s">
        <v>361</v>
      </c>
      <c r="Q79" s="14" t="s">
        <v>279</v>
      </c>
      <c r="R79" s="14">
        <v>6600</v>
      </c>
      <c r="S79" s="14">
        <f>YEAR(Sheet1!$N79)</f>
        <v>2004</v>
      </c>
      <c r="T79" s="14">
        <f>WEEKNUM(K79)</f>
        <v>45</v>
      </c>
      <c r="U79" s="26"/>
      <c r="V79" s="23"/>
    </row>
    <row r="80" spans="1:22" x14ac:dyDescent="0.3">
      <c r="A80" s="10">
        <v>348</v>
      </c>
      <c r="B80" s="11" t="s">
        <v>79</v>
      </c>
      <c r="C80" s="11" t="s">
        <v>139</v>
      </c>
      <c r="D80" s="11">
        <v>1504</v>
      </c>
      <c r="E80" s="11">
        <v>1504</v>
      </c>
      <c r="F80" s="11">
        <v>10107</v>
      </c>
      <c r="G80" s="11" t="s">
        <v>236</v>
      </c>
      <c r="H80" s="11">
        <v>38</v>
      </c>
      <c r="I80" s="34">
        <v>73.12</v>
      </c>
      <c r="J80" s="38">
        <f t="shared" si="2"/>
        <v>2778.5600000000004</v>
      </c>
      <c r="K80" s="12">
        <v>37933</v>
      </c>
      <c r="L80" s="12" t="str">
        <f t="shared" si="3"/>
        <v>November</v>
      </c>
      <c r="M80" s="11" t="s">
        <v>270</v>
      </c>
      <c r="N80" s="12">
        <v>37947</v>
      </c>
      <c r="O80" s="11" t="s">
        <v>219</v>
      </c>
      <c r="P80" s="11" t="s">
        <v>362</v>
      </c>
      <c r="Q80" s="11" t="s">
        <v>302</v>
      </c>
      <c r="R80" s="11">
        <v>6812</v>
      </c>
      <c r="S80" s="11">
        <f>YEAR(Sheet1!$N80)</f>
        <v>2003</v>
      </c>
      <c r="T80" s="11">
        <f>WEEKNUM(K80)</f>
        <v>45</v>
      </c>
      <c r="U80" s="25"/>
      <c r="V80" s="22"/>
    </row>
    <row r="81" spans="1:22" x14ac:dyDescent="0.3">
      <c r="A81" s="13">
        <v>350</v>
      </c>
      <c r="B81" s="14" t="s">
        <v>80</v>
      </c>
      <c r="C81" s="14" t="s">
        <v>124</v>
      </c>
      <c r="D81" s="14">
        <v>1337</v>
      </c>
      <c r="E81" s="14">
        <v>1401</v>
      </c>
      <c r="F81" s="14">
        <v>10107</v>
      </c>
      <c r="G81" s="14" t="s">
        <v>237</v>
      </c>
      <c r="H81" s="14">
        <v>20</v>
      </c>
      <c r="I81" s="33">
        <v>88.9</v>
      </c>
      <c r="J81" s="37">
        <f t="shared" si="2"/>
        <v>1778</v>
      </c>
      <c r="K81" s="15">
        <v>37936</v>
      </c>
      <c r="L81" s="15" t="str">
        <f t="shared" si="3"/>
        <v>November</v>
      </c>
      <c r="M81" s="14" t="s">
        <v>272</v>
      </c>
      <c r="N81" s="15">
        <v>38239</v>
      </c>
      <c r="O81" s="14" t="s">
        <v>161</v>
      </c>
      <c r="P81" s="14" t="s">
        <v>363</v>
      </c>
      <c r="Q81" s="14" t="s">
        <v>298</v>
      </c>
      <c r="R81" s="14">
        <v>2081</v>
      </c>
      <c r="S81" s="14">
        <f>YEAR(Sheet1!$N81)</f>
        <v>2004</v>
      </c>
      <c r="T81" s="14">
        <f>WEEKNUM(K81)</f>
        <v>46</v>
      </c>
      <c r="U81" s="26"/>
      <c r="V81" s="23"/>
    </row>
    <row r="82" spans="1:22" x14ac:dyDescent="0.3">
      <c r="A82" s="10">
        <v>353</v>
      </c>
      <c r="B82" s="11" t="s">
        <v>81</v>
      </c>
      <c r="C82" s="11" t="s">
        <v>124</v>
      </c>
      <c r="D82" s="11">
        <v>1337</v>
      </c>
      <c r="E82" s="11">
        <v>1337</v>
      </c>
      <c r="F82" s="11">
        <v>10108</v>
      </c>
      <c r="G82" s="11" t="s">
        <v>238</v>
      </c>
      <c r="H82" s="11">
        <v>33</v>
      </c>
      <c r="I82" s="34">
        <v>165.38</v>
      </c>
      <c r="J82" s="38">
        <f t="shared" si="2"/>
        <v>5457.54</v>
      </c>
      <c r="K82" s="12">
        <v>37936</v>
      </c>
      <c r="L82" s="12" t="str">
        <f t="shared" si="3"/>
        <v>November</v>
      </c>
      <c r="M82" s="11" t="s">
        <v>270</v>
      </c>
      <c r="N82" s="12">
        <v>38325</v>
      </c>
      <c r="O82" s="11" t="s">
        <v>192</v>
      </c>
      <c r="P82" s="11" t="s">
        <v>364</v>
      </c>
      <c r="Q82" s="11" t="s">
        <v>279</v>
      </c>
      <c r="R82" s="11">
        <v>6582</v>
      </c>
      <c r="S82" s="11">
        <f>YEAR(Sheet1!$N82)</f>
        <v>2004</v>
      </c>
      <c r="T82" s="11">
        <f>WEEKNUM(K82)</f>
        <v>46</v>
      </c>
      <c r="U82" s="25"/>
      <c r="V82" s="22"/>
    </row>
    <row r="83" spans="1:22" x14ac:dyDescent="0.3">
      <c r="A83" s="13">
        <v>356</v>
      </c>
      <c r="B83" s="14" t="s">
        <v>82</v>
      </c>
      <c r="C83" s="14" t="s">
        <v>147</v>
      </c>
      <c r="D83" s="14">
        <v>1323</v>
      </c>
      <c r="E83" s="14">
        <v>1621</v>
      </c>
      <c r="F83" s="14">
        <v>10108</v>
      </c>
      <c r="G83" s="14" t="s">
        <v>239</v>
      </c>
      <c r="H83" s="14">
        <v>45</v>
      </c>
      <c r="I83" s="33">
        <v>96.3</v>
      </c>
      <c r="J83" s="37">
        <f t="shared" si="2"/>
        <v>4333.5</v>
      </c>
      <c r="K83" s="15">
        <v>37937</v>
      </c>
      <c r="L83" s="15" t="str">
        <f t="shared" si="3"/>
        <v>November</v>
      </c>
      <c r="M83" s="14" t="s">
        <v>270</v>
      </c>
      <c r="N83" s="15">
        <v>37731</v>
      </c>
      <c r="O83" s="14" t="s">
        <v>180</v>
      </c>
      <c r="P83" s="14" t="s">
        <v>365</v>
      </c>
      <c r="Q83" s="14" t="s">
        <v>298</v>
      </c>
      <c r="R83" s="14">
        <v>4710</v>
      </c>
      <c r="S83" s="14">
        <f>YEAR(Sheet1!$N83)</f>
        <v>2003</v>
      </c>
      <c r="T83" s="14">
        <f>WEEKNUM(K83)</f>
        <v>46</v>
      </c>
      <c r="U83" s="26"/>
      <c r="V83" s="23"/>
    </row>
    <row r="84" spans="1:22" x14ac:dyDescent="0.3">
      <c r="A84" s="10">
        <v>357</v>
      </c>
      <c r="B84" s="11" t="s">
        <v>83</v>
      </c>
      <c r="C84" s="11" t="s">
        <v>146</v>
      </c>
      <c r="D84" s="11">
        <v>1612</v>
      </c>
      <c r="E84" s="11">
        <v>1286</v>
      </c>
      <c r="F84" s="11">
        <v>10108</v>
      </c>
      <c r="G84" s="11" t="s">
        <v>240</v>
      </c>
      <c r="H84" s="11">
        <v>39</v>
      </c>
      <c r="I84" s="34">
        <v>75.81</v>
      </c>
      <c r="J84" s="38">
        <f t="shared" si="2"/>
        <v>2956.59</v>
      </c>
      <c r="K84" s="12">
        <v>37937</v>
      </c>
      <c r="L84" s="12" t="str">
        <f t="shared" si="3"/>
        <v>November</v>
      </c>
      <c r="M84" s="11" t="s">
        <v>270</v>
      </c>
      <c r="N84" s="12">
        <v>38120</v>
      </c>
      <c r="O84" s="11" t="s">
        <v>220</v>
      </c>
      <c r="P84" s="11" t="s">
        <v>366</v>
      </c>
      <c r="Q84" s="11" t="s">
        <v>302</v>
      </c>
      <c r="R84" s="11">
        <v>2756</v>
      </c>
      <c r="S84" s="11">
        <f>YEAR(Sheet1!$N84)</f>
        <v>2004</v>
      </c>
      <c r="T84" s="11">
        <f>WEEKNUM(K84)</f>
        <v>46</v>
      </c>
      <c r="U84" s="25"/>
      <c r="V84" s="22"/>
    </row>
    <row r="85" spans="1:22" x14ac:dyDescent="0.3">
      <c r="A85" s="13">
        <v>361</v>
      </c>
      <c r="B85" s="14" t="s">
        <v>84</v>
      </c>
      <c r="C85" s="14" t="s">
        <v>129</v>
      </c>
      <c r="D85" s="14">
        <v>1702</v>
      </c>
      <c r="E85" s="14">
        <v>1216</v>
      </c>
      <c r="F85" s="14">
        <v>10108</v>
      </c>
      <c r="G85" s="14" t="s">
        <v>241</v>
      </c>
      <c r="H85" s="14">
        <v>36</v>
      </c>
      <c r="I85" s="33">
        <v>107.1</v>
      </c>
      <c r="J85" s="37">
        <f t="shared" si="2"/>
        <v>3855.6</v>
      </c>
      <c r="K85" s="15">
        <v>37938</v>
      </c>
      <c r="L85" s="15" t="str">
        <f t="shared" si="3"/>
        <v>November</v>
      </c>
      <c r="M85" s="14" t="s">
        <v>270</v>
      </c>
      <c r="N85" s="15">
        <v>38075</v>
      </c>
      <c r="O85" s="14" t="s">
        <v>250</v>
      </c>
      <c r="P85" s="14" t="s">
        <v>367</v>
      </c>
      <c r="Q85" s="14" t="s">
        <v>279</v>
      </c>
      <c r="R85" s="14">
        <v>7869</v>
      </c>
      <c r="S85" s="14">
        <f>YEAR(Sheet1!$N85)</f>
        <v>2004</v>
      </c>
      <c r="T85" s="14">
        <f>WEEKNUM(K85)</f>
        <v>46</v>
      </c>
      <c r="U85" s="26"/>
      <c r="V85" s="23"/>
    </row>
    <row r="86" spans="1:22" x14ac:dyDescent="0.3">
      <c r="A86" s="10">
        <v>362</v>
      </c>
      <c r="B86" s="11" t="s">
        <v>85</v>
      </c>
      <c r="C86" s="11" t="s">
        <v>125</v>
      </c>
      <c r="D86" s="11">
        <v>1216</v>
      </c>
      <c r="E86" s="11">
        <v>1165</v>
      </c>
      <c r="F86" s="11">
        <v>10108</v>
      </c>
      <c r="G86" s="11" t="s">
        <v>242</v>
      </c>
      <c r="H86" s="11">
        <v>38</v>
      </c>
      <c r="I86" s="34">
        <v>67.760000000000005</v>
      </c>
      <c r="J86" s="38">
        <f t="shared" si="2"/>
        <v>2574.88</v>
      </c>
      <c r="K86" s="12">
        <v>37939</v>
      </c>
      <c r="L86" s="12" t="str">
        <f t="shared" si="3"/>
        <v>November</v>
      </c>
      <c r="M86" s="11" t="s">
        <v>270</v>
      </c>
      <c r="N86" s="12">
        <v>38491</v>
      </c>
      <c r="O86" s="11" t="s">
        <v>181</v>
      </c>
      <c r="P86" s="11" t="s">
        <v>368</v>
      </c>
      <c r="Q86" s="11" t="s">
        <v>287</v>
      </c>
      <c r="R86" s="11">
        <v>5099</v>
      </c>
      <c r="S86" s="11">
        <f>YEAR(Sheet1!$N86)</f>
        <v>2005</v>
      </c>
      <c r="T86" s="11">
        <f>WEEKNUM(K86)</f>
        <v>46</v>
      </c>
      <c r="U86" s="25"/>
      <c r="V86" s="22"/>
    </row>
    <row r="87" spans="1:22" x14ac:dyDescent="0.3">
      <c r="A87" s="13">
        <v>363</v>
      </c>
      <c r="B87" s="14" t="s">
        <v>86</v>
      </c>
      <c r="C87" s="14" t="s">
        <v>125</v>
      </c>
      <c r="D87" s="14">
        <v>1216</v>
      </c>
      <c r="E87" s="14">
        <v>1612</v>
      </c>
      <c r="F87" s="14">
        <v>10108</v>
      </c>
      <c r="G87" s="14" t="s">
        <v>243</v>
      </c>
      <c r="H87" s="14">
        <v>26</v>
      </c>
      <c r="I87" s="33">
        <v>73.17</v>
      </c>
      <c r="J87" s="37">
        <f t="shared" si="2"/>
        <v>1902.42</v>
      </c>
      <c r="K87" s="15">
        <v>37939</v>
      </c>
      <c r="L87" s="15" t="str">
        <f t="shared" si="3"/>
        <v>November</v>
      </c>
      <c r="M87" s="14" t="s">
        <v>270</v>
      </c>
      <c r="N87" s="15">
        <v>37944</v>
      </c>
      <c r="O87" s="14" t="s">
        <v>237</v>
      </c>
      <c r="P87" s="14" t="s">
        <v>369</v>
      </c>
      <c r="Q87" s="14" t="s">
        <v>277</v>
      </c>
      <c r="R87" s="14">
        <v>178</v>
      </c>
      <c r="S87" s="14">
        <f>YEAR(Sheet1!$N87)</f>
        <v>2003</v>
      </c>
      <c r="T87" s="14">
        <f>WEEKNUM(K87)</f>
        <v>46</v>
      </c>
      <c r="U87" s="26"/>
      <c r="V87" s="23"/>
    </row>
    <row r="88" spans="1:22" x14ac:dyDescent="0.3">
      <c r="A88" s="10">
        <v>369</v>
      </c>
      <c r="B88" s="11" t="s">
        <v>87</v>
      </c>
      <c r="C88" s="11" t="s">
        <v>135</v>
      </c>
      <c r="D88" s="11">
        <v>1401</v>
      </c>
      <c r="E88" s="11">
        <v>1401</v>
      </c>
      <c r="F88" s="11">
        <v>10108</v>
      </c>
      <c r="G88" s="11" t="s">
        <v>244</v>
      </c>
      <c r="H88" s="11">
        <v>29</v>
      </c>
      <c r="I88" s="34">
        <v>132.29</v>
      </c>
      <c r="J88" s="38">
        <f t="shared" si="2"/>
        <v>3836.41</v>
      </c>
      <c r="K88" s="12">
        <v>37939</v>
      </c>
      <c r="L88" s="12" t="str">
        <f t="shared" si="3"/>
        <v>November</v>
      </c>
      <c r="M88" s="11" t="s">
        <v>270</v>
      </c>
      <c r="N88" s="12">
        <v>38178</v>
      </c>
      <c r="O88" s="11" t="s">
        <v>251</v>
      </c>
      <c r="P88" s="11" t="s">
        <v>370</v>
      </c>
      <c r="Q88" s="11" t="s">
        <v>277</v>
      </c>
      <c r="R88" s="11">
        <v>9241</v>
      </c>
      <c r="S88" s="11">
        <f>YEAR(Sheet1!$N88)</f>
        <v>2004</v>
      </c>
      <c r="T88" s="11">
        <f>WEEKNUM(K88)</f>
        <v>46</v>
      </c>
      <c r="U88" s="25"/>
      <c r="V88" s="22"/>
    </row>
    <row r="89" spans="1:22" x14ac:dyDescent="0.3">
      <c r="A89" s="13">
        <v>376</v>
      </c>
      <c r="B89" s="14" t="s">
        <v>88</v>
      </c>
      <c r="C89" s="14" t="s">
        <v>143</v>
      </c>
      <c r="D89" s="14">
        <v>1702</v>
      </c>
      <c r="E89" s="14">
        <v>1286</v>
      </c>
      <c r="F89" s="14">
        <v>10108</v>
      </c>
      <c r="G89" s="14" t="s">
        <v>245</v>
      </c>
      <c r="H89" s="14">
        <v>43</v>
      </c>
      <c r="I89" s="33">
        <v>52.84</v>
      </c>
      <c r="J89" s="37">
        <f t="shared" si="2"/>
        <v>2272.1200000000003</v>
      </c>
      <c r="K89" s="15">
        <v>37940</v>
      </c>
      <c r="L89" s="15" t="str">
        <f t="shared" si="3"/>
        <v>November</v>
      </c>
      <c r="M89" s="14" t="s">
        <v>270</v>
      </c>
      <c r="N89" s="15">
        <v>38094</v>
      </c>
      <c r="O89" s="14" t="s">
        <v>193</v>
      </c>
      <c r="P89" s="14" t="s">
        <v>371</v>
      </c>
      <c r="Q89" s="14" t="s">
        <v>287</v>
      </c>
      <c r="R89" s="14">
        <v>2874</v>
      </c>
      <c r="S89" s="14">
        <f>YEAR(Sheet1!$N89)</f>
        <v>2004</v>
      </c>
      <c r="T89" s="14">
        <f>WEEKNUM(K89)</f>
        <v>46</v>
      </c>
      <c r="U89" s="26"/>
      <c r="V89" s="23"/>
    </row>
    <row r="90" spans="1:22" x14ac:dyDescent="0.3">
      <c r="A90" s="10">
        <v>379</v>
      </c>
      <c r="B90" s="11" t="s">
        <v>89</v>
      </c>
      <c r="C90" s="11" t="s">
        <v>125</v>
      </c>
      <c r="D90" s="11">
        <v>1188</v>
      </c>
      <c r="E90" s="11">
        <v>1370</v>
      </c>
      <c r="F90" s="11">
        <v>10108</v>
      </c>
      <c r="G90" s="11" t="s">
        <v>246</v>
      </c>
      <c r="H90" s="11">
        <v>44</v>
      </c>
      <c r="I90" s="34">
        <v>139.87</v>
      </c>
      <c r="J90" s="38">
        <f t="shared" si="2"/>
        <v>6154.2800000000007</v>
      </c>
      <c r="K90" s="12">
        <v>37943</v>
      </c>
      <c r="L90" s="12" t="str">
        <f t="shared" si="3"/>
        <v>November</v>
      </c>
      <c r="M90" s="11" t="s">
        <v>270</v>
      </c>
      <c r="N90" s="12">
        <v>38005</v>
      </c>
      <c r="O90" s="11" t="s">
        <v>194</v>
      </c>
      <c r="P90" s="11" t="s">
        <v>372</v>
      </c>
      <c r="Q90" s="11" t="s">
        <v>325</v>
      </c>
      <c r="R90" s="11">
        <v>8601</v>
      </c>
      <c r="S90" s="11">
        <f>YEAR(Sheet1!$N90)</f>
        <v>2004</v>
      </c>
      <c r="T90" s="11">
        <f>WEEKNUM(K90)</f>
        <v>47</v>
      </c>
      <c r="U90" s="25"/>
      <c r="V90" s="22"/>
    </row>
    <row r="91" spans="1:22" x14ac:dyDescent="0.3">
      <c r="A91" s="13">
        <v>381</v>
      </c>
      <c r="B91" s="14" t="s">
        <v>90</v>
      </c>
      <c r="C91" s="14" t="s">
        <v>145</v>
      </c>
      <c r="D91" s="14">
        <v>1401</v>
      </c>
      <c r="E91" s="14">
        <v>1166</v>
      </c>
      <c r="F91" s="14">
        <v>10108</v>
      </c>
      <c r="G91" s="14" t="s">
        <v>247</v>
      </c>
      <c r="H91" s="14">
        <v>35</v>
      </c>
      <c r="I91" s="33">
        <v>64.41</v>
      </c>
      <c r="J91" s="37">
        <f t="shared" si="2"/>
        <v>2254.35</v>
      </c>
      <c r="K91" s="15">
        <v>37943</v>
      </c>
      <c r="L91" s="15" t="str">
        <f t="shared" si="3"/>
        <v>November</v>
      </c>
      <c r="M91" s="14" t="s">
        <v>270</v>
      </c>
      <c r="N91" s="15">
        <v>38102</v>
      </c>
      <c r="O91" s="14" t="s">
        <v>182</v>
      </c>
      <c r="P91" s="14" t="s">
        <v>373</v>
      </c>
      <c r="Q91" s="14" t="s">
        <v>287</v>
      </c>
      <c r="R91" s="14">
        <v>814</v>
      </c>
      <c r="S91" s="14">
        <f>YEAR(Sheet1!$N91)</f>
        <v>2004</v>
      </c>
      <c r="T91" s="14">
        <f>WEEKNUM(K91)</f>
        <v>47</v>
      </c>
      <c r="U91" s="26"/>
      <c r="V91" s="23"/>
    </row>
    <row r="92" spans="1:22" x14ac:dyDescent="0.3">
      <c r="A92" s="10">
        <v>382</v>
      </c>
      <c r="B92" s="11" t="s">
        <v>91</v>
      </c>
      <c r="C92" s="11" t="s">
        <v>148</v>
      </c>
      <c r="D92" s="11">
        <v>1401</v>
      </c>
      <c r="E92" s="11">
        <v>1501</v>
      </c>
      <c r="F92" s="11">
        <v>10108</v>
      </c>
      <c r="G92" s="11" t="s">
        <v>248</v>
      </c>
      <c r="H92" s="11">
        <v>30</v>
      </c>
      <c r="I92" s="34">
        <v>60.01</v>
      </c>
      <c r="J92" s="38">
        <f t="shared" si="2"/>
        <v>1800.3</v>
      </c>
      <c r="K92" s="12">
        <v>37944</v>
      </c>
      <c r="L92" s="12" t="str">
        <f t="shared" si="3"/>
        <v>November</v>
      </c>
      <c r="M92" s="11" t="s">
        <v>270</v>
      </c>
      <c r="N92" s="12">
        <v>37651</v>
      </c>
      <c r="O92" s="11" t="s">
        <v>221</v>
      </c>
      <c r="P92" s="11" t="s">
        <v>374</v>
      </c>
      <c r="Q92" s="11" t="s">
        <v>298</v>
      </c>
      <c r="R92" s="11">
        <v>136</v>
      </c>
      <c r="S92" s="11">
        <f>YEAR(Sheet1!$N92)</f>
        <v>2003</v>
      </c>
      <c r="T92" s="11">
        <f>WEEKNUM(K92)</f>
        <v>47</v>
      </c>
      <c r="U92" s="25"/>
      <c r="V92" s="22"/>
    </row>
    <row r="93" spans="1:22" x14ac:dyDescent="0.3">
      <c r="A93" s="13">
        <v>385</v>
      </c>
      <c r="B93" s="14" t="s">
        <v>92</v>
      </c>
      <c r="C93" s="14" t="s">
        <v>149</v>
      </c>
      <c r="D93" s="14">
        <v>1621</v>
      </c>
      <c r="E93" s="14">
        <v>1370</v>
      </c>
      <c r="F93" s="14">
        <v>10108</v>
      </c>
      <c r="G93" s="14" t="s">
        <v>249</v>
      </c>
      <c r="H93" s="14">
        <v>40</v>
      </c>
      <c r="I93" s="33">
        <v>132</v>
      </c>
      <c r="J93" s="37">
        <f t="shared" si="2"/>
        <v>5280</v>
      </c>
      <c r="K93" s="15">
        <v>37945</v>
      </c>
      <c r="L93" s="15" t="str">
        <f t="shared" si="3"/>
        <v>November</v>
      </c>
      <c r="M93" s="14" t="s">
        <v>270</v>
      </c>
      <c r="N93" s="15">
        <v>38307</v>
      </c>
      <c r="O93" s="14" t="s">
        <v>252</v>
      </c>
      <c r="P93" s="14" t="s">
        <v>375</v>
      </c>
      <c r="Q93" s="14" t="s">
        <v>277</v>
      </c>
      <c r="R93" s="14">
        <v>3341</v>
      </c>
      <c r="S93" s="14">
        <f>YEAR(Sheet1!$N93)</f>
        <v>2004</v>
      </c>
      <c r="T93" s="14">
        <f>WEEKNUM(K93)</f>
        <v>47</v>
      </c>
      <c r="U93" s="26"/>
      <c r="V93" s="23"/>
    </row>
    <row r="94" spans="1:22" x14ac:dyDescent="0.3">
      <c r="A94" s="10">
        <v>386</v>
      </c>
      <c r="B94" s="11" t="s">
        <v>93</v>
      </c>
      <c r="C94" s="11" t="s">
        <v>142</v>
      </c>
      <c r="D94" s="11">
        <v>1401</v>
      </c>
      <c r="E94" s="11">
        <v>1611</v>
      </c>
      <c r="F94" s="11">
        <v>10108</v>
      </c>
      <c r="G94" s="11" t="s">
        <v>250</v>
      </c>
      <c r="H94" s="11">
        <v>31</v>
      </c>
      <c r="I94" s="34">
        <v>67.099999999999994</v>
      </c>
      <c r="J94" s="38">
        <f t="shared" si="2"/>
        <v>2080.1</v>
      </c>
      <c r="K94" s="12">
        <v>37945</v>
      </c>
      <c r="L94" s="12" t="str">
        <f t="shared" si="3"/>
        <v>November</v>
      </c>
      <c r="M94" s="11" t="s">
        <v>270</v>
      </c>
      <c r="N94" s="12">
        <v>38421</v>
      </c>
      <c r="O94" s="11" t="s">
        <v>222</v>
      </c>
      <c r="P94" s="11" t="s">
        <v>376</v>
      </c>
      <c r="Q94" s="11" t="s">
        <v>298</v>
      </c>
      <c r="R94" s="11">
        <v>7062</v>
      </c>
      <c r="S94" s="11">
        <f>YEAR(Sheet1!$N94)</f>
        <v>2005</v>
      </c>
      <c r="T94" s="11">
        <f>WEEKNUM(K94)</f>
        <v>47</v>
      </c>
      <c r="U94" s="25"/>
      <c r="V94" s="22"/>
    </row>
    <row r="95" spans="1:22" x14ac:dyDescent="0.3">
      <c r="A95" s="13">
        <v>398</v>
      </c>
      <c r="B95" s="14" t="s">
        <v>94</v>
      </c>
      <c r="C95" s="14" t="s">
        <v>136</v>
      </c>
      <c r="D95" s="14">
        <v>1621</v>
      </c>
      <c r="E95" s="14">
        <v>1401</v>
      </c>
      <c r="F95" s="14">
        <v>10108</v>
      </c>
      <c r="G95" s="14" t="s">
        <v>251</v>
      </c>
      <c r="H95" s="14">
        <v>27</v>
      </c>
      <c r="I95" s="33">
        <v>36.21</v>
      </c>
      <c r="J95" s="37">
        <f t="shared" si="2"/>
        <v>977.67000000000007</v>
      </c>
      <c r="K95" s="15">
        <v>37946</v>
      </c>
      <c r="L95" s="15" t="str">
        <f t="shared" si="3"/>
        <v>November</v>
      </c>
      <c r="M95" s="14" t="s">
        <v>270</v>
      </c>
      <c r="N95" s="15">
        <v>37921</v>
      </c>
      <c r="O95" s="14" t="s">
        <v>195</v>
      </c>
      <c r="P95" s="14" t="s">
        <v>377</v>
      </c>
      <c r="Q95" s="14" t="s">
        <v>287</v>
      </c>
      <c r="R95" s="14">
        <v>1016</v>
      </c>
      <c r="S95" s="14">
        <f>YEAR(Sheet1!$N95)</f>
        <v>2003</v>
      </c>
      <c r="T95" s="14">
        <f>WEEKNUM(K95)</f>
        <v>47</v>
      </c>
      <c r="U95" s="26"/>
      <c r="V95" s="23"/>
    </row>
    <row r="96" spans="1:22" x14ac:dyDescent="0.3">
      <c r="A96" s="10">
        <v>406</v>
      </c>
      <c r="B96" s="11" t="s">
        <v>95</v>
      </c>
      <c r="C96" s="11" t="s">
        <v>124</v>
      </c>
      <c r="D96" s="11">
        <v>1337</v>
      </c>
      <c r="E96" s="11">
        <v>1337</v>
      </c>
      <c r="F96" s="11">
        <v>10108</v>
      </c>
      <c r="G96" s="11" t="s">
        <v>252</v>
      </c>
      <c r="H96" s="11">
        <v>31</v>
      </c>
      <c r="I96" s="34">
        <v>87.76</v>
      </c>
      <c r="J96" s="38">
        <f t="shared" si="2"/>
        <v>2720.56</v>
      </c>
      <c r="K96" s="12">
        <v>37950</v>
      </c>
      <c r="L96" s="12" t="str">
        <f t="shared" si="3"/>
        <v>November</v>
      </c>
      <c r="M96" s="11" t="s">
        <v>270</v>
      </c>
      <c r="N96" s="12">
        <v>38281</v>
      </c>
      <c r="O96" s="11" t="s">
        <v>196</v>
      </c>
      <c r="P96" s="11" t="s">
        <v>378</v>
      </c>
      <c r="Q96" s="11" t="s">
        <v>325</v>
      </c>
      <c r="R96" s="11">
        <v>1645</v>
      </c>
      <c r="S96" s="11">
        <f>YEAR(Sheet1!$N96)</f>
        <v>2004</v>
      </c>
      <c r="T96" s="11">
        <f>WEEKNUM(K96)</f>
        <v>48</v>
      </c>
      <c r="U96" s="25"/>
      <c r="V96" s="22"/>
    </row>
    <row r="97" spans="1:22" x14ac:dyDescent="0.3">
      <c r="A97" s="13">
        <v>409</v>
      </c>
      <c r="B97" s="14" t="s">
        <v>96</v>
      </c>
      <c r="C97" s="14" t="s">
        <v>129</v>
      </c>
      <c r="D97" s="14">
        <v>1501</v>
      </c>
      <c r="E97" s="14">
        <v>1370</v>
      </c>
      <c r="F97" s="14">
        <v>10108</v>
      </c>
      <c r="G97" s="14" t="s">
        <v>253</v>
      </c>
      <c r="H97" s="14">
        <v>34</v>
      </c>
      <c r="I97" s="33">
        <v>74.849999999999994</v>
      </c>
      <c r="J97" s="37">
        <f t="shared" si="2"/>
        <v>2544.8999999999996</v>
      </c>
      <c r="K97" s="15">
        <v>37950</v>
      </c>
      <c r="L97" s="15" t="str">
        <f t="shared" si="3"/>
        <v>November</v>
      </c>
      <c r="M97" s="14" t="s">
        <v>270</v>
      </c>
      <c r="N97" s="15">
        <v>38294</v>
      </c>
      <c r="O97" s="14" t="s">
        <v>253</v>
      </c>
      <c r="P97" s="14" t="s">
        <v>379</v>
      </c>
      <c r="Q97" s="14" t="s">
        <v>277</v>
      </c>
      <c r="R97" s="14">
        <v>600</v>
      </c>
      <c r="S97" s="14">
        <f>YEAR(Sheet1!$N97)</f>
        <v>2004</v>
      </c>
      <c r="T97" s="14">
        <f>WEEKNUM(K97)</f>
        <v>48</v>
      </c>
      <c r="U97" s="26"/>
      <c r="V97" s="23"/>
    </row>
    <row r="98" spans="1:22" x14ac:dyDescent="0.3">
      <c r="A98" s="10">
        <v>412</v>
      </c>
      <c r="B98" s="11" t="s">
        <v>97</v>
      </c>
      <c r="C98" s="11" t="s">
        <v>146</v>
      </c>
      <c r="D98" s="11">
        <v>1612</v>
      </c>
      <c r="E98" s="11">
        <v>1504</v>
      </c>
      <c r="F98" s="11">
        <v>10109</v>
      </c>
      <c r="G98" s="11" t="s">
        <v>254</v>
      </c>
      <c r="H98" s="11">
        <v>26</v>
      </c>
      <c r="I98" s="34">
        <v>117.48</v>
      </c>
      <c r="J98" s="38">
        <f t="shared" si="2"/>
        <v>3054.48</v>
      </c>
      <c r="K98" s="12">
        <v>37951</v>
      </c>
      <c r="L98" s="12" t="str">
        <f t="shared" si="3"/>
        <v>November</v>
      </c>
      <c r="M98" s="11" t="s">
        <v>270</v>
      </c>
      <c r="N98" s="12">
        <v>38329</v>
      </c>
      <c r="O98" s="11" t="s">
        <v>206</v>
      </c>
      <c r="P98" s="11" t="s">
        <v>380</v>
      </c>
      <c r="Q98" s="11" t="s">
        <v>318</v>
      </c>
      <c r="R98" s="11">
        <v>1897</v>
      </c>
      <c r="S98" s="11">
        <f>YEAR(Sheet1!$N98)</f>
        <v>2004</v>
      </c>
      <c r="T98" s="11">
        <f>WEEKNUM(K98)</f>
        <v>48</v>
      </c>
      <c r="U98" s="25"/>
      <c r="V98" s="22"/>
    </row>
    <row r="99" spans="1:22" x14ac:dyDescent="0.3">
      <c r="A99" s="13">
        <v>415</v>
      </c>
      <c r="B99" s="14" t="s">
        <v>98</v>
      </c>
      <c r="C99" s="14" t="s">
        <v>129</v>
      </c>
      <c r="D99" s="14">
        <v>1504</v>
      </c>
      <c r="E99" s="14">
        <v>1323</v>
      </c>
      <c r="F99" s="14">
        <v>10109</v>
      </c>
      <c r="G99" s="14" t="s">
        <v>255</v>
      </c>
      <c r="H99" s="14">
        <v>38</v>
      </c>
      <c r="I99" s="33">
        <v>137.97999999999999</v>
      </c>
      <c r="J99" s="37">
        <f t="shared" si="2"/>
        <v>5243.24</v>
      </c>
      <c r="K99" s="15">
        <v>37951</v>
      </c>
      <c r="L99" s="15" t="str">
        <f t="shared" si="3"/>
        <v>November</v>
      </c>
      <c r="M99" s="14" t="s">
        <v>270</v>
      </c>
      <c r="N99" s="15">
        <v>37707</v>
      </c>
      <c r="O99" s="14" t="s">
        <v>223</v>
      </c>
      <c r="P99" s="14" t="s">
        <v>381</v>
      </c>
      <c r="Q99" s="14" t="s">
        <v>302</v>
      </c>
      <c r="R99" s="14">
        <v>5841</v>
      </c>
      <c r="S99" s="14">
        <f>YEAR(Sheet1!$N99)</f>
        <v>2003</v>
      </c>
      <c r="T99" s="14">
        <f>WEEKNUM(K99)</f>
        <v>48</v>
      </c>
      <c r="U99" s="26"/>
      <c r="V99" s="23"/>
    </row>
    <row r="100" spans="1:22" x14ac:dyDescent="0.3">
      <c r="A100" s="10">
        <v>424</v>
      </c>
      <c r="B100" s="11" t="s">
        <v>99</v>
      </c>
      <c r="C100" s="11" t="s">
        <v>125</v>
      </c>
      <c r="D100" s="11">
        <v>1286</v>
      </c>
      <c r="E100" s="11">
        <v>1216</v>
      </c>
      <c r="F100" s="11">
        <v>10109</v>
      </c>
      <c r="G100" s="11" t="s">
        <v>256</v>
      </c>
      <c r="H100" s="11">
        <v>26</v>
      </c>
      <c r="I100" s="34">
        <v>126.72</v>
      </c>
      <c r="J100" s="38">
        <f t="shared" si="2"/>
        <v>3294.72</v>
      </c>
      <c r="K100" s="12">
        <v>37952</v>
      </c>
      <c r="L100" s="12" t="str">
        <f t="shared" si="3"/>
        <v>November</v>
      </c>
      <c r="M100" s="11" t="s">
        <v>270</v>
      </c>
      <c r="N100" s="12">
        <v>38263</v>
      </c>
      <c r="O100" s="11" t="s">
        <v>207</v>
      </c>
      <c r="P100" s="11" t="s">
        <v>382</v>
      </c>
      <c r="Q100" s="11" t="s">
        <v>318</v>
      </c>
      <c r="R100" s="11">
        <v>737</v>
      </c>
      <c r="S100" s="11">
        <f>YEAR(Sheet1!$N100)</f>
        <v>2004</v>
      </c>
      <c r="T100" s="11">
        <f>WEEKNUM(K100)</f>
        <v>48</v>
      </c>
      <c r="U100" s="25"/>
      <c r="V100" s="22"/>
    </row>
    <row r="101" spans="1:22" x14ac:dyDescent="0.3">
      <c r="A101" s="13">
        <v>443</v>
      </c>
      <c r="B101" s="14" t="s">
        <v>100</v>
      </c>
      <c r="C101" s="14" t="s">
        <v>129</v>
      </c>
      <c r="D101" s="14">
        <v>1890</v>
      </c>
      <c r="E101" s="14">
        <v>1611</v>
      </c>
      <c r="F101" s="14">
        <v>10109</v>
      </c>
      <c r="G101" s="14" t="s">
        <v>188</v>
      </c>
      <c r="H101" s="14">
        <v>46</v>
      </c>
      <c r="I101" s="33">
        <v>160.87</v>
      </c>
      <c r="J101" s="37">
        <f t="shared" si="2"/>
        <v>7400.02</v>
      </c>
      <c r="K101" s="15">
        <v>37956</v>
      </c>
      <c r="L101" s="15" t="str">
        <f t="shared" si="3"/>
        <v>December</v>
      </c>
      <c r="M101" s="14" t="s">
        <v>270</v>
      </c>
      <c r="N101" s="15">
        <v>38047</v>
      </c>
      <c r="O101" s="14" t="s">
        <v>224</v>
      </c>
      <c r="P101" s="14" t="s">
        <v>383</v>
      </c>
      <c r="Q101" s="14" t="s">
        <v>318</v>
      </c>
      <c r="R101" s="14">
        <v>3501</v>
      </c>
      <c r="S101" s="14">
        <f>YEAR(Sheet1!$N101)</f>
        <v>2004</v>
      </c>
      <c r="T101" s="14">
        <f>WEEKNUM(K101)</f>
        <v>49</v>
      </c>
      <c r="U101" s="26"/>
      <c r="V101" s="23"/>
    </row>
    <row r="102" spans="1:22" x14ac:dyDescent="0.3">
      <c r="A102" s="10">
        <v>447</v>
      </c>
      <c r="B102" s="11" t="s">
        <v>101</v>
      </c>
      <c r="C102" s="11" t="s">
        <v>125</v>
      </c>
      <c r="D102" s="11">
        <v>1323</v>
      </c>
      <c r="E102" s="11">
        <v>1401</v>
      </c>
      <c r="F102" s="11">
        <v>10109</v>
      </c>
      <c r="G102" s="11" t="s">
        <v>257</v>
      </c>
      <c r="H102" s="11">
        <v>47</v>
      </c>
      <c r="I102" s="34">
        <v>125.74</v>
      </c>
      <c r="J102" s="38">
        <f t="shared" si="2"/>
        <v>5909.78</v>
      </c>
      <c r="K102" s="12">
        <v>37956</v>
      </c>
      <c r="L102" s="12" t="str">
        <f t="shared" si="3"/>
        <v>December</v>
      </c>
      <c r="M102" s="11" t="s">
        <v>270</v>
      </c>
      <c r="N102" s="12">
        <v>38327</v>
      </c>
      <c r="O102" s="11" t="s">
        <v>225</v>
      </c>
      <c r="P102" s="11" t="s">
        <v>384</v>
      </c>
      <c r="Q102" s="11" t="s">
        <v>302</v>
      </c>
      <c r="R102" s="11">
        <v>9653</v>
      </c>
      <c r="S102" s="11">
        <f>YEAR(Sheet1!$N102)</f>
        <v>2004</v>
      </c>
      <c r="T102" s="11">
        <f>WEEKNUM(K102)</f>
        <v>49</v>
      </c>
      <c r="U102" s="25"/>
      <c r="V102" s="22"/>
    </row>
    <row r="103" spans="1:22" x14ac:dyDescent="0.3">
      <c r="A103" s="13">
        <v>448</v>
      </c>
      <c r="B103" s="14" t="s">
        <v>102</v>
      </c>
      <c r="C103" s="14" t="s">
        <v>131</v>
      </c>
      <c r="D103" s="14">
        <v>1504</v>
      </c>
      <c r="E103" s="14">
        <v>1611</v>
      </c>
      <c r="F103" s="14">
        <v>10109</v>
      </c>
      <c r="G103" s="14" t="s">
        <v>258</v>
      </c>
      <c r="H103" s="14">
        <v>29</v>
      </c>
      <c r="I103" s="33">
        <v>32.1</v>
      </c>
      <c r="J103" s="37">
        <f t="shared" si="2"/>
        <v>930.90000000000009</v>
      </c>
      <c r="K103" s="15">
        <v>37956</v>
      </c>
      <c r="L103" s="15" t="str">
        <f t="shared" si="3"/>
        <v>December</v>
      </c>
      <c r="M103" s="14" t="s">
        <v>270</v>
      </c>
      <c r="N103" s="15">
        <v>37808</v>
      </c>
      <c r="O103" s="14" t="s">
        <v>208</v>
      </c>
      <c r="P103" s="14" t="s">
        <v>385</v>
      </c>
      <c r="Q103" s="14" t="s">
        <v>318</v>
      </c>
      <c r="R103" s="14">
        <v>7083</v>
      </c>
      <c r="S103" s="14">
        <f>YEAR(Sheet1!$N103)</f>
        <v>2003</v>
      </c>
      <c r="T103" s="14">
        <f>WEEKNUM(K103)</f>
        <v>49</v>
      </c>
      <c r="U103" s="26"/>
      <c r="V103" s="23"/>
    </row>
    <row r="104" spans="1:22" x14ac:dyDescent="0.3">
      <c r="A104" s="10">
        <v>450</v>
      </c>
      <c r="B104" s="11" t="s">
        <v>103</v>
      </c>
      <c r="C104" s="11" t="s">
        <v>125</v>
      </c>
      <c r="D104" s="11">
        <v>1165</v>
      </c>
      <c r="E104" s="11">
        <v>1216</v>
      </c>
      <c r="F104" s="11">
        <v>10110</v>
      </c>
      <c r="G104" s="11" t="s">
        <v>259</v>
      </c>
      <c r="H104" s="11">
        <v>37</v>
      </c>
      <c r="I104" s="34">
        <v>118.22</v>
      </c>
      <c r="J104" s="38">
        <f t="shared" si="2"/>
        <v>4374.1400000000003</v>
      </c>
      <c r="K104" s="12">
        <v>37957</v>
      </c>
      <c r="L104" s="12" t="str">
        <f t="shared" si="3"/>
        <v>December</v>
      </c>
      <c r="M104" s="11" t="s">
        <v>270</v>
      </c>
      <c r="N104" s="12">
        <v>38251</v>
      </c>
      <c r="O104" s="11" t="s">
        <v>183</v>
      </c>
      <c r="P104" s="11" t="s">
        <v>386</v>
      </c>
      <c r="Q104" s="11" t="s">
        <v>279</v>
      </c>
      <c r="R104" s="11">
        <v>6934</v>
      </c>
      <c r="S104" s="11">
        <f>YEAR(Sheet1!$N104)</f>
        <v>2004</v>
      </c>
      <c r="T104" s="11">
        <f>WEEKNUM(K104)</f>
        <v>49</v>
      </c>
      <c r="U104" s="25"/>
      <c r="V104" s="22"/>
    </row>
    <row r="105" spans="1:22" x14ac:dyDescent="0.3">
      <c r="A105" s="13">
        <v>452</v>
      </c>
      <c r="B105" s="14" t="s">
        <v>104</v>
      </c>
      <c r="C105" s="14" t="s">
        <v>148</v>
      </c>
      <c r="D105" s="14">
        <v>1401</v>
      </c>
      <c r="E105" s="14">
        <v>1501</v>
      </c>
      <c r="F105" s="14">
        <v>10110</v>
      </c>
      <c r="G105" s="14" t="s">
        <v>158</v>
      </c>
      <c r="H105" s="14">
        <v>42</v>
      </c>
      <c r="I105" s="33">
        <v>153</v>
      </c>
      <c r="J105" s="37">
        <f t="shared" si="2"/>
        <v>6426</v>
      </c>
      <c r="K105" s="15">
        <v>37957</v>
      </c>
      <c r="L105" s="15" t="str">
        <f t="shared" si="3"/>
        <v>December</v>
      </c>
      <c r="M105" s="14" t="s">
        <v>270</v>
      </c>
      <c r="N105" s="15">
        <v>37914</v>
      </c>
      <c r="O105" s="14" t="s">
        <v>226</v>
      </c>
      <c r="P105" s="14" t="s">
        <v>387</v>
      </c>
      <c r="Q105" s="14" t="s">
        <v>302</v>
      </c>
      <c r="R105" s="14">
        <v>7106</v>
      </c>
      <c r="S105" s="14">
        <f>YEAR(Sheet1!$N105)</f>
        <v>2003</v>
      </c>
      <c r="T105" s="14">
        <f>WEEKNUM(K105)</f>
        <v>49</v>
      </c>
      <c r="U105" s="26"/>
      <c r="V105" s="23"/>
    </row>
    <row r="106" spans="1:22" x14ac:dyDescent="0.3">
      <c r="A106" s="10">
        <v>455</v>
      </c>
      <c r="B106" s="11" t="s">
        <v>105</v>
      </c>
      <c r="C106" s="11" t="s">
        <v>125</v>
      </c>
      <c r="D106" s="11">
        <v>1286</v>
      </c>
      <c r="E106" s="11">
        <v>1702</v>
      </c>
      <c r="F106" s="11">
        <v>10110</v>
      </c>
      <c r="G106" s="11" t="s">
        <v>159</v>
      </c>
      <c r="H106" s="11">
        <v>32</v>
      </c>
      <c r="I106" s="34">
        <v>51.46</v>
      </c>
      <c r="J106" s="38">
        <f t="shared" si="2"/>
        <v>1646.72</v>
      </c>
      <c r="K106" s="12">
        <v>37957</v>
      </c>
      <c r="L106" s="12" t="str">
        <f t="shared" si="3"/>
        <v>December</v>
      </c>
      <c r="M106" s="11" t="s">
        <v>270</v>
      </c>
      <c r="N106" s="12">
        <v>38153</v>
      </c>
      <c r="O106" s="11" t="s">
        <v>227</v>
      </c>
      <c r="P106" s="11" t="s">
        <v>388</v>
      </c>
      <c r="Q106" s="11" t="s">
        <v>302</v>
      </c>
      <c r="R106" s="11">
        <v>551</v>
      </c>
      <c r="S106" s="11">
        <f>YEAR(Sheet1!$N106)</f>
        <v>2004</v>
      </c>
      <c r="T106" s="11">
        <f>WEEKNUM(K106)</f>
        <v>49</v>
      </c>
      <c r="U106" s="25"/>
      <c r="V106" s="22"/>
    </row>
    <row r="107" spans="1:22" x14ac:dyDescent="0.3">
      <c r="A107" s="13">
        <v>456</v>
      </c>
      <c r="B107" s="14" t="s">
        <v>106</v>
      </c>
      <c r="C107" s="14" t="s">
        <v>125</v>
      </c>
      <c r="D107" s="14">
        <v>1286</v>
      </c>
      <c r="E107" s="14">
        <v>1504</v>
      </c>
      <c r="F107" s="14">
        <v>10110</v>
      </c>
      <c r="G107" s="14" t="s">
        <v>162</v>
      </c>
      <c r="H107" s="14">
        <v>33</v>
      </c>
      <c r="I107" s="33">
        <v>115.69</v>
      </c>
      <c r="J107" s="37">
        <f t="shared" si="2"/>
        <v>3817.77</v>
      </c>
      <c r="K107" s="15">
        <v>37958</v>
      </c>
      <c r="L107" s="15" t="str">
        <f t="shared" si="3"/>
        <v>December</v>
      </c>
      <c r="M107" s="14" t="s">
        <v>270</v>
      </c>
      <c r="N107" s="15">
        <v>37973</v>
      </c>
      <c r="O107" s="14" t="s">
        <v>209</v>
      </c>
      <c r="P107" s="14" t="s">
        <v>389</v>
      </c>
      <c r="Q107" s="14" t="s">
        <v>318</v>
      </c>
      <c r="R107" s="14">
        <v>1956</v>
      </c>
      <c r="S107" s="14">
        <f>YEAR(Sheet1!$N107)</f>
        <v>2003</v>
      </c>
      <c r="T107" s="14">
        <f>WEEKNUM(K107)</f>
        <v>49</v>
      </c>
      <c r="U107" s="26"/>
      <c r="V107" s="23"/>
    </row>
    <row r="108" spans="1:22" x14ac:dyDescent="0.3">
      <c r="A108" s="10">
        <v>458</v>
      </c>
      <c r="B108" s="11" t="s">
        <v>107</v>
      </c>
      <c r="C108" s="11" t="s">
        <v>130</v>
      </c>
      <c r="D108" s="11">
        <v>1702</v>
      </c>
      <c r="E108" s="11">
        <v>1323</v>
      </c>
      <c r="F108" s="11">
        <v>10110</v>
      </c>
      <c r="G108" s="11" t="s">
        <v>163</v>
      </c>
      <c r="H108" s="11">
        <v>31</v>
      </c>
      <c r="I108" s="34">
        <v>163.69</v>
      </c>
      <c r="J108" s="38">
        <f t="shared" si="2"/>
        <v>5074.3900000000003</v>
      </c>
      <c r="K108" s="12">
        <v>37960</v>
      </c>
      <c r="L108" s="12" t="str">
        <f t="shared" si="3"/>
        <v>December</v>
      </c>
      <c r="M108" s="11" t="s">
        <v>270</v>
      </c>
      <c r="N108" s="12">
        <v>38299</v>
      </c>
      <c r="O108" s="11" t="s">
        <v>210</v>
      </c>
      <c r="P108" s="11" t="s">
        <v>390</v>
      </c>
      <c r="Q108" s="11" t="s">
        <v>318</v>
      </c>
      <c r="R108" s="11">
        <v>5088</v>
      </c>
      <c r="S108" s="11">
        <f>YEAR(Sheet1!$N108)</f>
        <v>2004</v>
      </c>
      <c r="T108" s="11">
        <f>WEEKNUM(K108)</f>
        <v>49</v>
      </c>
      <c r="U108" s="25"/>
      <c r="V108" s="22"/>
    </row>
    <row r="109" spans="1:22" x14ac:dyDescent="0.3">
      <c r="A109" s="13">
        <v>459</v>
      </c>
      <c r="B109" s="14" t="s">
        <v>108</v>
      </c>
      <c r="C109" s="14" t="s">
        <v>129</v>
      </c>
      <c r="D109" s="14">
        <v>1181</v>
      </c>
      <c r="E109" s="14">
        <v>1165</v>
      </c>
      <c r="F109" s="14">
        <v>10110</v>
      </c>
      <c r="G109" s="14" t="s">
        <v>160</v>
      </c>
      <c r="H109" s="14">
        <v>28</v>
      </c>
      <c r="I109" s="33">
        <v>81.91</v>
      </c>
      <c r="J109" s="37">
        <f t="shared" si="2"/>
        <v>2293.48</v>
      </c>
      <c r="K109" s="15">
        <v>37964</v>
      </c>
      <c r="L109" s="15" t="str">
        <f t="shared" si="3"/>
        <v>December</v>
      </c>
      <c r="M109" s="14" t="s">
        <v>270</v>
      </c>
      <c r="N109" s="15">
        <v>38212</v>
      </c>
      <c r="O109" s="14" t="s">
        <v>228</v>
      </c>
      <c r="P109" s="14" t="s">
        <v>391</v>
      </c>
      <c r="Q109" s="14" t="s">
        <v>302</v>
      </c>
      <c r="R109" s="14">
        <v>8820</v>
      </c>
      <c r="S109" s="14">
        <f>YEAR(Sheet1!$N109)</f>
        <v>2004</v>
      </c>
      <c r="T109" s="14">
        <f>WEEKNUM(K109)</f>
        <v>50</v>
      </c>
      <c r="U109" s="26"/>
      <c r="V109" s="23"/>
    </row>
    <row r="110" spans="1:22" x14ac:dyDescent="0.3">
      <c r="A110" s="10">
        <v>462</v>
      </c>
      <c r="B110" s="11" t="s">
        <v>109</v>
      </c>
      <c r="C110" s="11" t="s">
        <v>125</v>
      </c>
      <c r="D110" s="11">
        <v>1216</v>
      </c>
      <c r="E110" s="11">
        <v>1501</v>
      </c>
      <c r="F110" s="11">
        <v>10110</v>
      </c>
      <c r="G110" s="11" t="s">
        <v>260</v>
      </c>
      <c r="H110" s="11">
        <v>42</v>
      </c>
      <c r="I110" s="34">
        <v>62</v>
      </c>
      <c r="J110" s="38">
        <f t="shared" si="2"/>
        <v>2604</v>
      </c>
      <c r="K110" s="12">
        <v>37988</v>
      </c>
      <c r="L110" s="12" t="str">
        <f t="shared" si="3"/>
        <v>January</v>
      </c>
      <c r="M110" s="11" t="s">
        <v>270</v>
      </c>
      <c r="N110" s="12">
        <v>38254</v>
      </c>
      <c r="O110" s="11" t="s">
        <v>229</v>
      </c>
      <c r="P110" s="11" t="s">
        <v>392</v>
      </c>
      <c r="Q110" s="11" t="s">
        <v>302</v>
      </c>
      <c r="R110" s="11">
        <v>4857</v>
      </c>
      <c r="S110" s="11">
        <f>YEAR(Sheet1!$N110)</f>
        <v>2004</v>
      </c>
      <c r="T110" s="11">
        <f>WEEKNUM(K110)</f>
        <v>1</v>
      </c>
      <c r="U110" s="25"/>
      <c r="V110" s="22"/>
    </row>
    <row r="111" spans="1:22" x14ac:dyDescent="0.3">
      <c r="A111" s="13">
        <v>465</v>
      </c>
      <c r="B111" s="14" t="s">
        <v>110</v>
      </c>
      <c r="C111" s="14" t="s">
        <v>130</v>
      </c>
      <c r="D111" s="14">
        <v>1286</v>
      </c>
      <c r="E111" s="14">
        <v>1188</v>
      </c>
      <c r="F111" s="14">
        <v>10110</v>
      </c>
      <c r="G111" s="14" t="s">
        <v>261</v>
      </c>
      <c r="H111" s="14">
        <v>36</v>
      </c>
      <c r="I111" s="33">
        <v>72.02</v>
      </c>
      <c r="J111" s="37">
        <f t="shared" si="2"/>
        <v>2592.7199999999998</v>
      </c>
      <c r="K111" s="15">
        <v>37995</v>
      </c>
      <c r="L111" s="15" t="str">
        <f t="shared" si="3"/>
        <v>January</v>
      </c>
      <c r="M111" s="14" t="s">
        <v>270</v>
      </c>
      <c r="N111" s="15">
        <v>37959</v>
      </c>
      <c r="O111" s="14" t="s">
        <v>211</v>
      </c>
      <c r="P111" s="14" t="s">
        <v>393</v>
      </c>
      <c r="Q111" s="14" t="s">
        <v>318</v>
      </c>
      <c r="R111" s="14">
        <v>414</v>
      </c>
      <c r="S111" s="14">
        <f>YEAR(Sheet1!$N111)</f>
        <v>2003</v>
      </c>
      <c r="T111" s="14">
        <f>WEEKNUM(K111)</f>
        <v>2</v>
      </c>
      <c r="U111" s="26"/>
      <c r="V111" s="23"/>
    </row>
    <row r="112" spans="1:22" x14ac:dyDescent="0.3">
      <c r="A112" s="10">
        <v>471</v>
      </c>
      <c r="B112" s="11" t="s">
        <v>111</v>
      </c>
      <c r="C112" s="11" t="s">
        <v>126</v>
      </c>
      <c r="D112" s="11">
        <v>1611</v>
      </c>
      <c r="E112" s="11">
        <v>1612</v>
      </c>
      <c r="F112" s="11">
        <v>10110</v>
      </c>
      <c r="G112" s="11" t="s">
        <v>262</v>
      </c>
      <c r="H112" s="11">
        <v>29</v>
      </c>
      <c r="I112" s="34">
        <v>43.27</v>
      </c>
      <c r="J112" s="38">
        <f t="shared" si="2"/>
        <v>1254.8300000000002</v>
      </c>
      <c r="K112" s="12">
        <v>37998</v>
      </c>
      <c r="L112" s="12" t="str">
        <f t="shared" si="3"/>
        <v>January</v>
      </c>
      <c r="M112" s="11" t="s">
        <v>270</v>
      </c>
      <c r="N112" s="12">
        <v>37869</v>
      </c>
      <c r="O112" s="11" t="s">
        <v>194</v>
      </c>
      <c r="P112" s="11" t="s">
        <v>356</v>
      </c>
      <c r="Q112" s="11" t="s">
        <v>318</v>
      </c>
      <c r="R112" s="11">
        <v>6621</v>
      </c>
      <c r="S112" s="11">
        <f>YEAR(Sheet1!$N112)</f>
        <v>2003</v>
      </c>
      <c r="T112" s="11">
        <f>WEEKNUM(K112)</f>
        <v>3</v>
      </c>
      <c r="U112" s="25"/>
      <c r="V112" s="22"/>
    </row>
    <row r="113" spans="1:22" x14ac:dyDescent="0.3">
      <c r="A113" s="13">
        <v>473</v>
      </c>
      <c r="B113" s="14" t="s">
        <v>112</v>
      </c>
      <c r="C113" s="14" t="s">
        <v>142</v>
      </c>
      <c r="D113" s="14">
        <v>1401</v>
      </c>
      <c r="E113" s="14">
        <v>1165</v>
      </c>
      <c r="F113" s="14">
        <v>10110</v>
      </c>
      <c r="G113" s="14" t="s">
        <v>164</v>
      </c>
      <c r="H113" s="14">
        <v>20</v>
      </c>
      <c r="I113" s="33">
        <v>28.88</v>
      </c>
      <c r="J113" s="37">
        <f t="shared" si="2"/>
        <v>577.6</v>
      </c>
      <c r="K113" s="15">
        <v>38001</v>
      </c>
      <c r="L113" s="15" t="str">
        <f t="shared" si="3"/>
        <v>January</v>
      </c>
      <c r="M113" s="14" t="s">
        <v>270</v>
      </c>
      <c r="N113" s="15">
        <v>38389</v>
      </c>
      <c r="O113" s="14" t="s">
        <v>195</v>
      </c>
      <c r="P113" s="14" t="s">
        <v>357</v>
      </c>
      <c r="Q113" s="14" t="s">
        <v>302</v>
      </c>
      <c r="R113" s="14">
        <v>6600</v>
      </c>
      <c r="S113" s="14">
        <f>YEAR(Sheet1!$N113)</f>
        <v>2005</v>
      </c>
      <c r="T113" s="14">
        <f>WEEKNUM(K113)</f>
        <v>3</v>
      </c>
      <c r="U113" s="26"/>
      <c r="V113" s="23"/>
    </row>
    <row r="114" spans="1:22" x14ac:dyDescent="0.3">
      <c r="A114" s="10">
        <v>475</v>
      </c>
      <c r="B114" s="11" t="s">
        <v>113</v>
      </c>
      <c r="C114" s="11" t="s">
        <v>125</v>
      </c>
      <c r="D114" s="11">
        <v>1166</v>
      </c>
      <c r="E114" s="11">
        <v>1401</v>
      </c>
      <c r="F114" s="11">
        <v>10110</v>
      </c>
      <c r="G114" s="11" t="s">
        <v>165</v>
      </c>
      <c r="H114" s="11">
        <v>39</v>
      </c>
      <c r="I114" s="34">
        <v>40.770000000000003</v>
      </c>
      <c r="J114" s="38">
        <f t="shared" si="2"/>
        <v>1590.0300000000002</v>
      </c>
      <c r="K114" s="12">
        <v>38002</v>
      </c>
      <c r="L114" s="12" t="str">
        <f t="shared" si="3"/>
        <v>January</v>
      </c>
      <c r="M114" s="11" t="s">
        <v>270</v>
      </c>
      <c r="N114" s="12">
        <v>38475</v>
      </c>
      <c r="O114" s="11" t="s">
        <v>196</v>
      </c>
      <c r="P114" s="11" t="s">
        <v>358</v>
      </c>
      <c r="Q114" s="11" t="s">
        <v>279</v>
      </c>
      <c r="R114" s="11">
        <v>6812</v>
      </c>
      <c r="S114" s="11">
        <f>YEAR(Sheet1!$N114)</f>
        <v>2005</v>
      </c>
      <c r="T114" s="11">
        <f>WEEKNUM(K114)</f>
        <v>3</v>
      </c>
      <c r="U114" s="25"/>
      <c r="V114" s="22"/>
    </row>
    <row r="115" spans="1:22" x14ac:dyDescent="0.3">
      <c r="A115" s="13">
        <v>477</v>
      </c>
      <c r="B115" s="14" t="s">
        <v>114</v>
      </c>
      <c r="C115" s="14" t="s">
        <v>129</v>
      </c>
      <c r="D115" s="14">
        <v>1165</v>
      </c>
      <c r="E115" s="14">
        <v>1286</v>
      </c>
      <c r="F115" s="14">
        <v>10110</v>
      </c>
      <c r="G115" s="14" t="s">
        <v>263</v>
      </c>
      <c r="H115" s="14">
        <v>43</v>
      </c>
      <c r="I115" s="33">
        <v>82.69</v>
      </c>
      <c r="J115" s="37">
        <f t="shared" si="2"/>
        <v>3555.67</v>
      </c>
      <c r="K115" s="15">
        <v>38008</v>
      </c>
      <c r="L115" s="15" t="str">
        <f t="shared" si="3"/>
        <v>January</v>
      </c>
      <c r="M115" s="14" t="s">
        <v>270</v>
      </c>
      <c r="N115" s="15">
        <v>38159</v>
      </c>
      <c r="O115" s="14" t="s">
        <v>197</v>
      </c>
      <c r="P115" s="14" t="s">
        <v>359</v>
      </c>
      <c r="Q115" s="14" t="s">
        <v>302</v>
      </c>
      <c r="R115" s="14">
        <v>2081</v>
      </c>
      <c r="S115" s="14">
        <f>YEAR(Sheet1!$N115)</f>
        <v>2004</v>
      </c>
      <c r="T115" s="14">
        <f>WEEKNUM(K115)</f>
        <v>4</v>
      </c>
      <c r="U115" s="26"/>
      <c r="V115" s="23"/>
    </row>
    <row r="116" spans="1:22" x14ac:dyDescent="0.3">
      <c r="A116" s="10">
        <v>480</v>
      </c>
      <c r="B116" s="11" t="s">
        <v>115</v>
      </c>
      <c r="C116" s="11" t="s">
        <v>150</v>
      </c>
      <c r="D116" s="11">
        <v>1216</v>
      </c>
      <c r="E116" s="11">
        <v>1286</v>
      </c>
      <c r="F116" s="11">
        <v>10110</v>
      </c>
      <c r="G116" s="11" t="s">
        <v>264</v>
      </c>
      <c r="H116" s="11">
        <v>46</v>
      </c>
      <c r="I116" s="34">
        <v>112.74</v>
      </c>
      <c r="J116" s="38">
        <f t="shared" si="2"/>
        <v>5186.04</v>
      </c>
      <c r="K116" s="12">
        <v>38012</v>
      </c>
      <c r="L116" s="12" t="str">
        <f t="shared" si="3"/>
        <v>January</v>
      </c>
      <c r="M116" s="11" t="s">
        <v>270</v>
      </c>
      <c r="N116" s="12">
        <v>38111</v>
      </c>
      <c r="O116" s="11" t="s">
        <v>198</v>
      </c>
      <c r="P116" s="11" t="s">
        <v>360</v>
      </c>
      <c r="Q116" s="11" t="s">
        <v>395</v>
      </c>
      <c r="R116" s="11">
        <v>6582</v>
      </c>
      <c r="S116" s="11">
        <f>YEAR(Sheet1!$N116)</f>
        <v>2004</v>
      </c>
      <c r="T116" s="11">
        <f>WEEKNUM(K116)</f>
        <v>5</v>
      </c>
      <c r="U116" s="25"/>
      <c r="V116" s="22"/>
    </row>
    <row r="117" spans="1:22" x14ac:dyDescent="0.3">
      <c r="A117" s="13">
        <v>481</v>
      </c>
      <c r="B117" s="14" t="s">
        <v>116</v>
      </c>
      <c r="C117" s="14" t="s">
        <v>151</v>
      </c>
      <c r="D117" s="14">
        <v>1789</v>
      </c>
      <c r="E117" s="14">
        <v>1702</v>
      </c>
      <c r="F117" s="14">
        <v>10110</v>
      </c>
      <c r="G117" s="14" t="s">
        <v>265</v>
      </c>
      <c r="H117" s="14">
        <v>27</v>
      </c>
      <c r="I117" s="33">
        <v>80.47</v>
      </c>
      <c r="J117" s="37">
        <f t="shared" si="2"/>
        <v>2172.69</v>
      </c>
      <c r="K117" s="15">
        <v>38015</v>
      </c>
      <c r="L117" s="15" t="str">
        <f t="shared" si="3"/>
        <v>January</v>
      </c>
      <c r="M117" s="14" t="s">
        <v>270</v>
      </c>
      <c r="N117" s="15">
        <v>37964</v>
      </c>
      <c r="O117" s="14" t="s">
        <v>199</v>
      </c>
      <c r="P117" s="14" t="s">
        <v>361</v>
      </c>
      <c r="Q117" s="14" t="s">
        <v>277</v>
      </c>
      <c r="R117" s="14">
        <v>4710</v>
      </c>
      <c r="S117" s="14">
        <f>YEAR(Sheet1!$N117)</f>
        <v>2003</v>
      </c>
      <c r="T117" s="14">
        <f>WEEKNUM(K117)</f>
        <v>5</v>
      </c>
      <c r="U117" s="26"/>
      <c r="V117" s="23"/>
    </row>
    <row r="118" spans="1:22" x14ac:dyDescent="0.3">
      <c r="A118" s="10">
        <v>484</v>
      </c>
      <c r="B118" s="11" t="s">
        <v>117</v>
      </c>
      <c r="C118" s="11" t="s">
        <v>130</v>
      </c>
      <c r="D118" s="11">
        <v>1702</v>
      </c>
      <c r="E118" s="11">
        <v>1181</v>
      </c>
      <c r="F118" s="11">
        <v>10110</v>
      </c>
      <c r="G118" s="11" t="s">
        <v>266</v>
      </c>
      <c r="H118" s="11">
        <v>37</v>
      </c>
      <c r="I118" s="34">
        <v>96.37</v>
      </c>
      <c r="J118" s="38">
        <f t="shared" si="2"/>
        <v>3565.69</v>
      </c>
      <c r="K118" s="12">
        <v>38019</v>
      </c>
      <c r="L118" s="12" t="str">
        <f t="shared" si="3"/>
        <v>February</v>
      </c>
      <c r="M118" s="11" t="s">
        <v>270</v>
      </c>
      <c r="N118" s="12">
        <v>37750</v>
      </c>
      <c r="O118" s="11" t="s">
        <v>200</v>
      </c>
      <c r="P118" s="11" t="s">
        <v>362</v>
      </c>
      <c r="Q118" s="11" t="s">
        <v>287</v>
      </c>
      <c r="R118" s="11">
        <v>2756</v>
      </c>
      <c r="S118" s="11">
        <f>YEAR(Sheet1!$N118)</f>
        <v>2003</v>
      </c>
      <c r="T118" s="11">
        <f>WEEKNUM(K118)</f>
        <v>6</v>
      </c>
      <c r="U118" s="25"/>
      <c r="V118" s="22"/>
    </row>
    <row r="119" spans="1:22" x14ac:dyDescent="0.3">
      <c r="A119" s="13">
        <v>486</v>
      </c>
      <c r="B119" s="14" t="s">
        <v>118</v>
      </c>
      <c r="C119" s="14" t="s">
        <v>125</v>
      </c>
      <c r="D119" s="14">
        <v>1323</v>
      </c>
      <c r="E119" s="14">
        <v>1216</v>
      </c>
      <c r="F119" s="14">
        <v>10110</v>
      </c>
      <c r="G119" s="14" t="s">
        <v>161</v>
      </c>
      <c r="H119" s="14">
        <v>48</v>
      </c>
      <c r="I119" s="33">
        <v>35.29</v>
      </c>
      <c r="J119" s="37">
        <f t="shared" si="2"/>
        <v>1693.92</v>
      </c>
      <c r="K119" s="15">
        <v>38021</v>
      </c>
      <c r="L119" s="15" t="str">
        <f t="shared" si="3"/>
        <v>February</v>
      </c>
      <c r="M119" s="14" t="s">
        <v>270</v>
      </c>
      <c r="N119" s="15">
        <v>38327</v>
      </c>
      <c r="O119" s="14" t="s">
        <v>201</v>
      </c>
      <c r="P119" s="14" t="s">
        <v>363</v>
      </c>
      <c r="Q119" s="14" t="s">
        <v>279</v>
      </c>
      <c r="R119" s="14">
        <v>7869</v>
      </c>
      <c r="S119" s="14">
        <f>YEAR(Sheet1!$N119)</f>
        <v>2004</v>
      </c>
      <c r="T119" s="14">
        <f>WEEKNUM(K119)</f>
        <v>6</v>
      </c>
      <c r="U119" s="26"/>
      <c r="V119" s="23"/>
    </row>
    <row r="120" spans="1:22" x14ac:dyDescent="0.3">
      <c r="A120" s="10">
        <v>487</v>
      </c>
      <c r="B120" s="11" t="s">
        <v>119</v>
      </c>
      <c r="C120" s="11" t="s">
        <v>125</v>
      </c>
      <c r="D120" s="11">
        <v>1165</v>
      </c>
      <c r="E120" s="11">
        <v>1286</v>
      </c>
      <c r="F120" s="11">
        <v>10111</v>
      </c>
      <c r="G120" s="11" t="s">
        <v>166</v>
      </c>
      <c r="H120" s="11">
        <v>33</v>
      </c>
      <c r="I120" s="34">
        <v>87.33</v>
      </c>
      <c r="J120" s="38">
        <f t="shared" si="2"/>
        <v>2881.89</v>
      </c>
      <c r="K120" s="12">
        <v>38026</v>
      </c>
      <c r="L120" s="12" t="str">
        <f t="shared" si="3"/>
        <v>February</v>
      </c>
      <c r="M120" s="11" t="s">
        <v>270</v>
      </c>
      <c r="N120" s="12">
        <v>37969</v>
      </c>
      <c r="O120" s="11" t="s">
        <v>202</v>
      </c>
      <c r="P120" s="11" t="s">
        <v>364</v>
      </c>
      <c r="Q120" s="11" t="s">
        <v>279</v>
      </c>
      <c r="R120" s="11">
        <v>5099</v>
      </c>
      <c r="S120" s="11">
        <f>YEAR(Sheet1!$N120)</f>
        <v>2003</v>
      </c>
      <c r="T120" s="11">
        <f>WEEKNUM(K120)</f>
        <v>7</v>
      </c>
      <c r="U120" s="25"/>
      <c r="V120" s="22"/>
    </row>
    <row r="121" spans="1:22" x14ac:dyDescent="0.3">
      <c r="A121" s="13">
        <v>489</v>
      </c>
      <c r="B121" s="14" t="s">
        <v>120</v>
      </c>
      <c r="C121" s="14" t="s">
        <v>138</v>
      </c>
      <c r="D121" s="14">
        <v>1501</v>
      </c>
      <c r="E121" s="14">
        <v>1702</v>
      </c>
      <c r="F121" s="14">
        <v>10111</v>
      </c>
      <c r="G121" s="14" t="s">
        <v>167</v>
      </c>
      <c r="H121" s="14">
        <v>48</v>
      </c>
      <c r="I121" s="33">
        <v>48.52</v>
      </c>
      <c r="J121" s="37">
        <f t="shared" si="2"/>
        <v>2328.96</v>
      </c>
      <c r="K121" s="15">
        <v>38027</v>
      </c>
      <c r="L121" s="15" t="str">
        <f t="shared" si="3"/>
        <v>February</v>
      </c>
      <c r="M121" s="14" t="s">
        <v>270</v>
      </c>
      <c r="N121" s="15">
        <v>38413</v>
      </c>
      <c r="O121" s="14" t="s">
        <v>203</v>
      </c>
      <c r="P121" s="14" t="s">
        <v>365</v>
      </c>
      <c r="Q121" s="14" t="s">
        <v>302</v>
      </c>
      <c r="R121" s="14">
        <v>178</v>
      </c>
      <c r="S121" s="14">
        <f>YEAR(Sheet1!$N121)</f>
        <v>2005</v>
      </c>
      <c r="T121" s="14">
        <f>WEEKNUM(K121)</f>
        <v>7</v>
      </c>
      <c r="U121" s="26"/>
      <c r="V121" s="23"/>
    </row>
    <row r="122" spans="1:22" x14ac:dyDescent="0.3">
      <c r="A122" s="10">
        <v>495</v>
      </c>
      <c r="B122" s="11" t="s">
        <v>121</v>
      </c>
      <c r="C122" s="11" t="s">
        <v>125</v>
      </c>
      <c r="D122" s="11">
        <v>1188</v>
      </c>
      <c r="E122" s="11">
        <v>1216</v>
      </c>
      <c r="F122" s="11">
        <v>10111</v>
      </c>
      <c r="G122" s="11" t="s">
        <v>174</v>
      </c>
      <c r="H122" s="11">
        <v>28</v>
      </c>
      <c r="I122" s="34">
        <v>53.09</v>
      </c>
      <c r="J122" s="38">
        <f t="shared" si="2"/>
        <v>1486.52</v>
      </c>
      <c r="K122" s="12">
        <v>38029</v>
      </c>
      <c r="L122" s="12" t="str">
        <f t="shared" si="3"/>
        <v>February</v>
      </c>
      <c r="M122" s="11" t="s">
        <v>270</v>
      </c>
      <c r="N122" s="12">
        <v>37912</v>
      </c>
      <c r="O122" s="11" t="s">
        <v>204</v>
      </c>
      <c r="P122" s="11" t="s">
        <v>366</v>
      </c>
      <c r="Q122" s="11" t="s">
        <v>325</v>
      </c>
      <c r="R122" s="11">
        <v>9241</v>
      </c>
      <c r="S122" s="11">
        <f>YEAR(Sheet1!$N122)</f>
        <v>2003</v>
      </c>
      <c r="T122" s="11">
        <f>WEEKNUM(K122)</f>
        <v>7</v>
      </c>
      <c r="U122" s="25"/>
      <c r="V122" s="22"/>
    </row>
    <row r="123" spans="1:22" x14ac:dyDescent="0.3">
      <c r="A123" s="8">
        <v>496</v>
      </c>
      <c r="B123" s="7" t="s">
        <v>122</v>
      </c>
      <c r="C123" s="7" t="s">
        <v>146</v>
      </c>
      <c r="D123" s="7">
        <v>1612</v>
      </c>
      <c r="E123" s="7">
        <v>1216</v>
      </c>
      <c r="F123" s="7">
        <v>10111</v>
      </c>
      <c r="G123" s="7" t="s">
        <v>175</v>
      </c>
      <c r="H123" s="7">
        <v>43</v>
      </c>
      <c r="I123" s="35">
        <v>94.25</v>
      </c>
      <c r="J123" s="39">
        <f t="shared" si="2"/>
        <v>4052.75</v>
      </c>
      <c r="K123" s="20">
        <v>38035</v>
      </c>
      <c r="L123" s="20" t="str">
        <f t="shared" si="3"/>
        <v>February</v>
      </c>
      <c r="M123" s="7" t="s">
        <v>270</v>
      </c>
      <c r="N123" s="20">
        <v>37925</v>
      </c>
      <c r="O123" s="7" t="s">
        <v>205</v>
      </c>
      <c r="P123" s="7" t="s">
        <v>367</v>
      </c>
      <c r="Q123" s="7" t="s">
        <v>302</v>
      </c>
      <c r="R123" s="7">
        <v>2874</v>
      </c>
      <c r="S123" s="7">
        <f>YEAR(Sheet1!$N123)</f>
        <v>2003</v>
      </c>
      <c r="T123" s="7">
        <f>WEEKNUM(K123)</f>
        <v>8</v>
      </c>
      <c r="U123" s="26"/>
      <c r="V123" s="24"/>
    </row>
  </sheetData>
  <autoFilter ref="A1:T123" xr:uid="{2015E727-C6EB-4B9E-BFC3-C42C52F3B5F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8D3D-4C7D-425D-9D90-DFDB5F923318}">
  <dimension ref="B2:L24"/>
  <sheetViews>
    <sheetView topLeftCell="A4" zoomScale="90" zoomScaleNormal="90" workbookViewId="0">
      <selection activeCell="L5" sqref="L5"/>
    </sheetView>
  </sheetViews>
  <sheetFormatPr defaultRowHeight="14.4" x14ac:dyDescent="0.3"/>
  <cols>
    <col min="2" max="2" width="13.44140625" bestFit="1" customWidth="1"/>
    <col min="3" max="3" width="14.5546875" bestFit="1" customWidth="1"/>
    <col min="4" max="4" width="22.5546875" bestFit="1" customWidth="1"/>
    <col min="5" max="5" width="13.44140625" bestFit="1" customWidth="1"/>
    <col min="6" max="6" width="24.109375" bestFit="1" customWidth="1"/>
    <col min="7" max="7" width="22.44140625" bestFit="1" customWidth="1"/>
    <col min="8" max="9" width="14.5546875" bestFit="1" customWidth="1"/>
    <col min="10" max="10" width="22.5546875" bestFit="1" customWidth="1"/>
    <col min="11" max="11" width="34.5546875" bestFit="1" customWidth="1"/>
    <col min="12" max="12" width="14.5546875" bestFit="1" customWidth="1"/>
  </cols>
  <sheetData>
    <row r="2" spans="2:12" x14ac:dyDescent="0.3">
      <c r="B2" s="2" t="s">
        <v>397</v>
      </c>
      <c r="C2" t="s">
        <v>400</v>
      </c>
      <c r="D2" t="s">
        <v>410</v>
      </c>
      <c r="E2" t="s">
        <v>408</v>
      </c>
      <c r="G2" s="2" t="s">
        <v>397</v>
      </c>
      <c r="H2" t="s">
        <v>400</v>
      </c>
      <c r="K2" s="2" t="s">
        <v>397</v>
      </c>
      <c r="L2" t="s">
        <v>400</v>
      </c>
    </row>
    <row r="3" spans="2:12" x14ac:dyDescent="0.3">
      <c r="B3" s="3" t="s">
        <v>279</v>
      </c>
      <c r="C3" s="1">
        <v>81137.02</v>
      </c>
      <c r="D3" t="str">
        <f>B3</f>
        <v>Classic Cars</v>
      </c>
      <c r="E3" s="1">
        <f>C3</f>
        <v>81137.02</v>
      </c>
      <c r="G3" s="3" t="s">
        <v>89</v>
      </c>
      <c r="H3" s="1">
        <v>6154.2800000000007</v>
      </c>
      <c r="K3" s="3" t="s">
        <v>372</v>
      </c>
      <c r="L3" s="1">
        <v>6154.2800000000007</v>
      </c>
    </row>
    <row r="4" spans="2:12" x14ac:dyDescent="0.3">
      <c r="B4" s="3" t="s">
        <v>298</v>
      </c>
      <c r="C4" s="1">
        <v>45920.07</v>
      </c>
      <c r="D4" t="str">
        <f t="shared" ref="D4:D7" si="0">B4</f>
        <v>Vintage Cars</v>
      </c>
      <c r="E4" s="1">
        <f t="shared" ref="E4:E7" si="1">C4</f>
        <v>45920.07</v>
      </c>
      <c r="G4" s="3" t="s">
        <v>40</v>
      </c>
      <c r="H4" s="1">
        <v>6392</v>
      </c>
      <c r="K4" s="3" t="s">
        <v>321</v>
      </c>
      <c r="L4" s="1">
        <v>6392</v>
      </c>
    </row>
    <row r="5" spans="2:12" x14ac:dyDescent="0.3">
      <c r="B5" s="3" t="s">
        <v>302</v>
      </c>
      <c r="C5" s="1">
        <v>34121.9</v>
      </c>
      <c r="D5" t="str">
        <f t="shared" si="0"/>
        <v>Planes</v>
      </c>
      <c r="E5" s="1">
        <f t="shared" si="1"/>
        <v>34121.9</v>
      </c>
      <c r="G5" s="3" t="s">
        <v>104</v>
      </c>
      <c r="H5" s="1">
        <v>6426</v>
      </c>
      <c r="K5" s="3" t="s">
        <v>387</v>
      </c>
      <c r="L5" s="1">
        <v>6426</v>
      </c>
    </row>
    <row r="6" spans="2:12" x14ac:dyDescent="0.3">
      <c r="B6" s="3" t="s">
        <v>318</v>
      </c>
      <c r="C6" s="1">
        <v>28189.230000000003</v>
      </c>
      <c r="D6" t="str">
        <f t="shared" si="0"/>
        <v>Ships</v>
      </c>
      <c r="E6" s="1">
        <f t="shared" si="1"/>
        <v>28189.230000000003</v>
      </c>
      <c r="G6" s="3" t="s">
        <v>100</v>
      </c>
      <c r="H6" s="1">
        <v>7400.02</v>
      </c>
      <c r="K6" s="3" t="s">
        <v>383</v>
      </c>
      <c r="L6" s="1">
        <v>7400.02</v>
      </c>
    </row>
    <row r="7" spans="2:12" x14ac:dyDescent="0.3">
      <c r="B7" s="3" t="s">
        <v>277</v>
      </c>
      <c r="C7" s="1">
        <v>26288.530000000002</v>
      </c>
      <c r="D7" t="str">
        <f t="shared" si="0"/>
        <v>Motorcycles</v>
      </c>
      <c r="E7" s="1">
        <f t="shared" si="1"/>
        <v>26288.530000000002</v>
      </c>
      <c r="G7" s="3" t="s">
        <v>41</v>
      </c>
      <c r="H7" s="1">
        <v>8434.52</v>
      </c>
      <c r="K7" s="3" t="s">
        <v>323</v>
      </c>
      <c r="L7" s="1">
        <v>8434.52</v>
      </c>
    </row>
    <row r="8" spans="2:12" x14ac:dyDescent="0.3">
      <c r="B8" s="3" t="s">
        <v>398</v>
      </c>
      <c r="C8" s="1">
        <v>215656.75000000003</v>
      </c>
      <c r="E8" s="1"/>
      <c r="G8" s="3" t="s">
        <v>398</v>
      </c>
      <c r="H8" s="1">
        <v>34806.820000000007</v>
      </c>
      <c r="K8" s="3" t="s">
        <v>398</v>
      </c>
      <c r="L8" s="1">
        <v>34806.820000000007</v>
      </c>
    </row>
    <row r="13" spans="2:12" x14ac:dyDescent="0.3">
      <c r="B13" s="2" t="s">
        <v>397</v>
      </c>
      <c r="C13" t="s">
        <v>399</v>
      </c>
      <c r="E13" s="2" t="s">
        <v>397</v>
      </c>
      <c r="F13" t="s">
        <v>409</v>
      </c>
      <c r="H13" s="2" t="s">
        <v>397</v>
      </c>
      <c r="I13" t="s">
        <v>400</v>
      </c>
      <c r="J13" t="s">
        <v>399</v>
      </c>
    </row>
    <row r="14" spans="2:12" x14ac:dyDescent="0.3">
      <c r="B14" s="3" t="s">
        <v>124</v>
      </c>
      <c r="C14" s="4">
        <v>0.16880341880341881</v>
      </c>
      <c r="E14" s="3" t="s">
        <v>279</v>
      </c>
      <c r="F14" s="5">
        <v>0.33846153846153848</v>
      </c>
      <c r="H14" s="3" t="s">
        <v>402</v>
      </c>
      <c r="I14" s="1">
        <v>18620.63</v>
      </c>
      <c r="J14" s="6">
        <v>173</v>
      </c>
    </row>
    <row r="15" spans="2:12" x14ac:dyDescent="0.3">
      <c r="B15" s="3" t="s">
        <v>129</v>
      </c>
      <c r="C15" s="4">
        <v>0.26353276353276356</v>
      </c>
      <c r="E15" s="3" t="s">
        <v>277</v>
      </c>
      <c r="F15" s="5">
        <v>0.12307692307692308</v>
      </c>
      <c r="H15" s="3" t="s">
        <v>403</v>
      </c>
      <c r="I15" s="1">
        <v>20512.059999999998</v>
      </c>
      <c r="J15" s="6">
        <v>281</v>
      </c>
    </row>
    <row r="16" spans="2:12" x14ac:dyDescent="0.3">
      <c r="B16" s="3" t="s">
        <v>130</v>
      </c>
      <c r="C16" s="4">
        <v>0.10754985754985755</v>
      </c>
      <c r="E16" s="3" t="s">
        <v>302</v>
      </c>
      <c r="F16" s="5">
        <v>0.13846153846153847</v>
      </c>
      <c r="H16" s="3" t="s">
        <v>401</v>
      </c>
      <c r="I16" s="1">
        <v>27670.81</v>
      </c>
      <c r="J16" s="6">
        <v>266</v>
      </c>
    </row>
    <row r="17" spans="2:10" x14ac:dyDescent="0.3">
      <c r="B17" s="3" t="s">
        <v>125</v>
      </c>
      <c r="C17" s="4">
        <v>0.46011396011396011</v>
      </c>
      <c r="E17" s="3" t="s">
        <v>318</v>
      </c>
      <c r="F17" s="5">
        <v>0.12307692307692308</v>
      </c>
      <c r="H17" s="3" t="s">
        <v>406</v>
      </c>
      <c r="I17" s="1">
        <v>37873.199999999997</v>
      </c>
      <c r="J17" s="6">
        <v>325</v>
      </c>
    </row>
    <row r="18" spans="2:10" x14ac:dyDescent="0.3">
      <c r="B18" s="3" t="s">
        <v>398</v>
      </c>
      <c r="C18" s="4">
        <v>1</v>
      </c>
      <c r="E18" s="3" t="s">
        <v>298</v>
      </c>
      <c r="F18" s="5">
        <v>0.27692307692307694</v>
      </c>
      <c r="H18" s="3" t="s">
        <v>404</v>
      </c>
      <c r="I18" s="1">
        <v>43334.37</v>
      </c>
      <c r="J18" s="6">
        <v>535</v>
      </c>
    </row>
    <row r="19" spans="2:10" x14ac:dyDescent="0.3">
      <c r="E19" s="3" t="s">
        <v>398</v>
      </c>
      <c r="F19" s="5">
        <v>1</v>
      </c>
      <c r="H19" s="3" t="s">
        <v>405</v>
      </c>
      <c r="I19" s="1">
        <v>93703.72</v>
      </c>
      <c r="J19" s="6">
        <v>1020</v>
      </c>
    </row>
    <row r="20" spans="2:10" x14ac:dyDescent="0.3">
      <c r="H20" s="3" t="s">
        <v>398</v>
      </c>
      <c r="I20" s="1">
        <v>241714.78999999998</v>
      </c>
      <c r="J20" s="6">
        <v>2600</v>
      </c>
    </row>
    <row r="23" spans="2:10" x14ac:dyDescent="0.3">
      <c r="C23" t="s">
        <v>400</v>
      </c>
      <c r="D23" t="s">
        <v>399</v>
      </c>
    </row>
    <row r="24" spans="2:10" x14ac:dyDescent="0.3">
      <c r="C24" s="1">
        <v>241714.78999999998</v>
      </c>
      <c r="D24" s="6">
        <v>2600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6808-5C05-4608-A45E-DF84A11F8800}">
  <dimension ref="A1"/>
  <sheetViews>
    <sheetView zoomScale="67" zoomScaleNormal="67" workbookViewId="0">
      <selection activeCell="AE10" sqref="AE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Vaani Chawla</dc:creator>
  <cp:lastModifiedBy>Vaani Chawla</cp:lastModifiedBy>
  <dcterms:created xsi:type="dcterms:W3CDTF">2025-08-18T06:05:28Z</dcterms:created>
  <dcterms:modified xsi:type="dcterms:W3CDTF">2026-05-07T17:19:20Z</dcterms:modified>
</cp:coreProperties>
</file>